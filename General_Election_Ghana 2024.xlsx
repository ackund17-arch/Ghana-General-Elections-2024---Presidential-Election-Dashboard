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obby's Office\Desktop\"/>
    </mc:Choice>
  </mc:AlternateContent>
  <xr:revisionPtr revIDLastSave="0" documentId="13_ncr:1_{B878C417-876E-42AB-B70A-AC6B0C2BB794}" xr6:coauthVersionLast="47" xr6:coauthVersionMax="47" xr10:uidLastSave="{00000000-0000-0000-0000-000000000000}"/>
  <bookViews>
    <workbookView xWindow="-110" yWindow="-110" windowWidth="19420" windowHeight="10300" activeTab="1" xr2:uid="{19D5A42D-AEA5-4125-A881-7154EBC08BA4}"/>
  </bookViews>
  <sheets>
    <sheet name="Sheet1" sheetId="1" r:id="rId1"/>
    <sheet name="NTable" sheetId="7" r:id="rId2"/>
    <sheet name="Pivot" sheetId="9" r:id="rId3"/>
    <sheet name="Dashboard" sheetId="4" r:id="rId4"/>
  </sheets>
  <definedNames>
    <definedName name="_xlnm._FilterDatabase" localSheetId="0" hidden="1">Sheet1!$A$1:$C$193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B195" i="1"/>
  <c r="F195" i="1"/>
  <c r="D17" i="4"/>
  <c r="J17" i="4"/>
  <c r="H3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5744E0-905B-4144-A2C9-C312E745882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6A0E9F6D-D871-4052-8B0C-20C2D3A4B695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8ED95866-D96D-467E-9AC8-EC8F6CAE6AC4}" keepAlive="1" name="Query - Table35" description="Connection to the 'Table35' query in the workbook." type="5" refreshedVersion="0" background="1">
    <dbPr connection="Provider=Microsoft.Mashup.OleDb.1;Data Source=$Workbook$;Location=Table35;Extended Properties=&quot;&quot;" command="SELECT * FROM [Table35]"/>
  </connection>
  <connection id="4" xr16:uid="{3E3403D6-2AF3-470E-8BA9-66ECE520D685}" keepAlive="1" name="Query - Table35 (2)" description="Connection to the 'Table35 (2)' query in the workbook." type="5" refreshedVersion="8" background="1">
    <dbPr connection="Provider=Microsoft.Mashup.OleDb.1;Data Source=$Workbook$;Location=&quot;Table35 (2)&quot;;Extended Properties=&quot;&quot;" command="SELECT * FROM [Table35 (2)]"/>
  </connection>
</connections>
</file>

<file path=xl/sharedStrings.xml><?xml version="1.0" encoding="utf-8"?>
<sst xmlns="http://schemas.openxmlformats.org/spreadsheetml/2006/main" count="450" uniqueCount="48">
  <si>
    <t>Name</t>
  </si>
  <si>
    <t>Votes Obtained</t>
  </si>
  <si>
    <t>Region</t>
  </si>
  <si>
    <t>MAHAMUDU BAWUMIA</t>
  </si>
  <si>
    <t>Ahafo</t>
  </si>
  <si>
    <t>DANIEL AUGUSTUS LARTEY JNR.</t>
  </si>
  <si>
    <t>CHRISTIAN KWABENA ANDREWS</t>
  </si>
  <si>
    <t>KOFI AKPALOO</t>
  </si>
  <si>
    <t>MOHAMMED FRIMPONG</t>
  </si>
  <si>
    <t>NANA AKOSUA FRIMPOMAA</t>
  </si>
  <si>
    <t>JOHN DRAMANI MAHAMA</t>
  </si>
  <si>
    <t>HASSAN ABDULAI AYARIGA</t>
  </si>
  <si>
    <t>KOFI KORANTENG</t>
  </si>
  <si>
    <t>GEORGE TWUM-BARIMAH-ADU</t>
  </si>
  <si>
    <t>NANA KWAME BEDIAKO</t>
  </si>
  <si>
    <t>ALAN JOHN KWADWO KYEREMATEN</t>
  </si>
  <si>
    <t>Ashanti</t>
  </si>
  <si>
    <t>GEORGE TWUM-DARIMAH-ADU</t>
  </si>
  <si>
    <t>Bono</t>
  </si>
  <si>
    <t>Bono East</t>
  </si>
  <si>
    <t>Central</t>
  </si>
  <si>
    <t>Eastern</t>
  </si>
  <si>
    <t>Greater Accra</t>
  </si>
  <si>
    <t>North East</t>
  </si>
  <si>
    <t>Northern</t>
  </si>
  <si>
    <t>Oti</t>
  </si>
  <si>
    <t>DANIEL AUGUSTUS LARTEY JNR</t>
  </si>
  <si>
    <t>Savannah</t>
  </si>
  <si>
    <t>Upper East</t>
  </si>
  <si>
    <t>Upper West</t>
  </si>
  <si>
    <t>Volta</t>
  </si>
  <si>
    <t>Western</t>
  </si>
  <si>
    <t>Western North</t>
  </si>
  <si>
    <t>John D. Mahama</t>
  </si>
  <si>
    <t>Mahamudu Bawumia</t>
  </si>
  <si>
    <t>Others</t>
  </si>
  <si>
    <t>Valid Votes</t>
  </si>
  <si>
    <t xml:space="preserve">Bono </t>
  </si>
  <si>
    <t>Row Labels</t>
  </si>
  <si>
    <t>Grand Total</t>
  </si>
  <si>
    <t>MB</t>
  </si>
  <si>
    <t>JDM</t>
  </si>
  <si>
    <t>Others.</t>
  </si>
  <si>
    <t xml:space="preserve">Total Valid Votes </t>
  </si>
  <si>
    <t>General Elections 2024 Ghana Presidential (The Two Major Parties)</t>
  </si>
  <si>
    <t>JM/MB/Others</t>
  </si>
  <si>
    <t>Regions</t>
  </si>
  <si>
    <t>Mahamadu Bawumia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</si>
</sst>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AC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0" fillId="0" borderId="0" xfId="0" pivotButton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2" fillId="2" borderId="0" xfId="0" applyFont="1" applyFill="1"/>
    <xf numFmtId="0" fontId="4" fillId="2" borderId="0" xfId="0" applyFont="1" applyFill="1"/>
    <xf numFmtId="164" fontId="0" fillId="0" borderId="0" xfId="1" applyNumberFormat="1" applyFont="1"/>
    <xf numFmtId="0" fontId="5" fillId="2" borderId="0" xfId="0" applyFont="1" applyFill="1"/>
    <xf numFmtId="164" fontId="4" fillId="2" borderId="0" xfId="1" applyNumberFormat="1" applyFont="1" applyFill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164" fontId="4" fillId="2" borderId="0" xfId="1" applyNumberFormat="1" applyFont="1" applyFill="1"/>
    <xf numFmtId="0" fontId="7" fillId="2" borderId="0" xfId="0" applyFont="1" applyFill="1"/>
    <xf numFmtId="1" fontId="0" fillId="0" borderId="0" xfId="0" applyNumberFormat="1"/>
    <xf numFmtId="1" fontId="1" fillId="3" borderId="10" xfId="0" applyNumberFormat="1" applyFont="1" applyFill="1" applyBorder="1"/>
    <xf numFmtId="1" fontId="1" fillId="0" borderId="10" xfId="0" applyNumberFormat="1" applyFont="1" applyBorder="1"/>
  </cellXfs>
  <cellStyles count="2">
    <cellStyle name="Comma" xfId="1" builtinId="3"/>
    <cellStyle name="Normal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E2754612-4251-4143-939C-4E54DA746A4A}"/>
  </tableStyles>
  <colors>
    <mruColors>
      <color rgb="FF0C16F5"/>
      <color rgb="FF26A62F"/>
      <color rgb="FF7F7F7F"/>
      <color rgb="FF3D3B3B"/>
      <color rgb="FFE2E2D0"/>
      <color rgb="FFDFEAC8"/>
      <color rgb="FF324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2024_General_Election_Ghana(1).xlsx]Pivot!PivotTable1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</a:rPr>
              <a:t>JDM vs MB vs Others in Ashanti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C16F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6A62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C16F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0FF544-9423-4FA5-9F82-4671640BE1A3}" type="SERIESNAM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[SERIES NAME]</a:t>
                </a:fld>
                <a:r>
                  <a:rPr lang="en-US" baseline="0"/>
                  <a:t>, </a:t>
                </a:r>
                <a:fld id="{BD34F578-F012-433E-B150-FBA0B514AB4E}" type="VALU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40266841644795"/>
                  <c:h val="0.24509259259259256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26A6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551377952755903"/>
                  <c:h val="0.20356481481481481"/>
                </c:manualLayout>
              </c15:layout>
            </c:ext>
          </c:extLst>
        </c:dLbl>
      </c:pivotFmt>
      <c:pivotFmt>
        <c:idx val="5"/>
        <c:spPr>
          <a:solidFill>
            <a:srgbClr val="0C16F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C16F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0FF544-9423-4FA5-9F82-4671640BE1A3}" type="SERIESNAM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[SERIES NAME]</a:t>
                </a:fld>
                <a:r>
                  <a:rPr lang="en-US" baseline="0"/>
                  <a:t>, </a:t>
                </a:r>
                <a:fld id="{BD34F578-F012-433E-B150-FBA0B514AB4E}" type="VALU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40266841644795"/>
                  <c:h val="0.24509259259259256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26A62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6A6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551377952755903"/>
                  <c:h val="0.20356481481481481"/>
                </c:manualLayout>
              </c15:layout>
            </c:ext>
          </c:extLst>
        </c:dLbl>
      </c:pivotFmt>
      <c:pivotFmt>
        <c:idx val="9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C16F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C16F5"/>
          </a:solidFill>
          <a:ln>
            <a:noFill/>
          </a:ln>
          <a:effectLst/>
        </c:spPr>
        <c:dLbl>
          <c:idx val="0"/>
          <c:layout>
            <c:manualLayout>
              <c:x val="0"/>
              <c:y val="3.960415529741950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AB0FF544-9423-4FA5-9F82-4671640BE1A3}" type="SERIESNAME">
                  <a:rPr lang="en-US" b="1">
                    <a:solidFill>
                      <a:sysClr val="windowText" lastClr="000000"/>
                    </a:solidFill>
                  </a:rPr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t>[SERIES NAME]</a:t>
                </a:fld>
                <a:r>
                  <a:rPr lang="en-US" b="1" baseline="0">
                    <a:solidFill>
                      <a:sysClr val="windowText" lastClr="000000"/>
                    </a:solidFill>
                  </a:rPr>
                  <a:t>, </a:t>
                </a:r>
                <a:fld id="{BD34F578-F012-433E-B150-FBA0B514AB4E}" type="VALUE">
                  <a:rPr lang="en-US" b="1" baseline="0">
                    <a:solidFill>
                      <a:sysClr val="windowText" lastClr="000000"/>
                    </a:solidFill>
                  </a:rPr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t>[VALUE]</a:t>
                </a:fld>
                <a:endParaRPr lang="en-US" b="1" baseline="0">
                  <a:solidFill>
                    <a:sysClr val="windowText" lastClr="000000"/>
                  </a:solidFill>
                </a:endParaRPr>
              </a:p>
            </c:rich>
          </c:tx>
          <c:numFmt formatCode="#,##0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40266841644795"/>
                  <c:h val="0.24509259259259256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rgbClr val="26A62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6A62F"/>
          </a:solidFill>
          <a:ln>
            <a:noFill/>
          </a:ln>
          <a:effectLst/>
        </c:spPr>
        <c:dLbl>
          <c:idx val="0"/>
          <c:numFmt formatCode="#,##0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551377952755903"/>
                  <c:h val="0.20356481481481481"/>
                </c:manualLayout>
              </c15:layout>
            </c:ext>
          </c:extLst>
        </c:dLbl>
      </c:pivotFmt>
      <c:pivotFmt>
        <c:idx val="1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923076923076927E-2"/>
          <c:y val="0.20836633663366336"/>
          <c:w val="0.93230769230769228"/>
          <c:h val="0.722326732673267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Pivot!$A$3</c:f>
              <c:strCache>
                <c:ptCount val="1"/>
                <c:pt idx="0">
                  <c:v>MB</c:v>
                </c:pt>
              </c:strCache>
            </c:strRef>
          </c:tx>
          <c:spPr>
            <a:solidFill>
              <a:srgbClr val="0C16F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94E-4360-8B0E-71F2570426E2}"/>
              </c:ext>
            </c:extLst>
          </c:dPt>
          <c:dLbls>
            <c:dLbl>
              <c:idx val="0"/>
              <c:layout>
                <c:manualLayout>
                  <c:x val="0"/>
                  <c:y val="3.96041552974195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B0FF544-9423-4FA5-9F82-4671640BE1A3}" type="SERIESNAME">
                      <a:rPr lang="en-US" b="1">
                        <a:solidFill>
                          <a:sysClr val="windowText" lastClr="000000"/>
                        </a:solidFill>
                      </a:rPr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[SERIES NAME]</a:t>
                    </a:fld>
                    <a:r>
                      <a:rPr lang="en-US" b="1" baseline="0">
                        <a:solidFill>
                          <a:sysClr val="windowText" lastClr="000000"/>
                        </a:solidFill>
                      </a:rPr>
                      <a:t>, </a:t>
                    </a:r>
                    <a:fld id="{BD34F578-F012-433E-B150-FBA0B514AB4E}" type="VALUE">
                      <a:rPr lang="en-US" b="1" baseline="0">
                        <a:solidFill>
                          <a:sysClr val="windowText" lastClr="000000"/>
                        </a:solidFill>
                      </a:rPr>
                      <a:pPr>
                        <a:defRPr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 b="1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#,##0;\-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40266841644795"/>
                      <c:h val="0.2450925925925925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94E-4360-8B0E-71F2570426E2}"/>
                </c:ext>
              </c:extLst>
            </c:dLbl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Pivot!$A$4</c:f>
              <c:numCache>
                <c:formatCode>General</c:formatCode>
                <c:ptCount val="1"/>
                <c:pt idx="0">
                  <c:v>1366800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E-4360-8B0E-71F2570426E2}"/>
            </c:ext>
          </c:extLst>
        </c:ser>
        <c:ser>
          <c:idx val="1"/>
          <c:order val="1"/>
          <c:tx>
            <c:strRef>
              <c:f>Pivot!$B$3</c:f>
              <c:strCache>
                <c:ptCount val="1"/>
                <c:pt idx="0">
                  <c:v>JDM</c:v>
                </c:pt>
              </c:strCache>
            </c:strRef>
          </c:tx>
          <c:spPr>
            <a:solidFill>
              <a:srgbClr val="26A62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94E-4360-8B0E-71F2570426E2}"/>
              </c:ext>
            </c:extLst>
          </c:dPt>
          <c:dLbls>
            <c:dLbl>
              <c:idx val="0"/>
              <c:numFmt formatCode="#,##0;\-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51377952755903"/>
                      <c:h val="0.203564814814814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94E-4360-8B0E-71F2570426E2}"/>
                </c:ext>
              </c:extLst>
            </c:dLbl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Pivot!$B$4</c:f>
              <c:numCache>
                <c:formatCode>General</c:formatCode>
                <c:ptCount val="1"/>
                <c:pt idx="0">
                  <c:v>697076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E-4360-8B0E-71F2570426E2}"/>
            </c:ext>
          </c:extLst>
        </c:ser>
        <c:ser>
          <c:idx val="2"/>
          <c:order val="2"/>
          <c:tx>
            <c:strRef>
              <c:f>Pivot!$C$3</c:f>
              <c:strCache>
                <c:ptCount val="1"/>
                <c:pt idx="0">
                  <c:v>Others.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Pivot!$C$4</c:f>
              <c:numCache>
                <c:formatCode>General</c:formatCode>
                <c:ptCount val="1"/>
                <c:pt idx="0">
                  <c:v>739308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E-4360-8B0E-71F2570426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8525376"/>
        <c:axId val="218534016"/>
      </c:barChart>
      <c:catAx>
        <c:axId val="218525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8534016"/>
        <c:crosses val="autoZero"/>
        <c:auto val="1"/>
        <c:lblAlgn val="ctr"/>
        <c:lblOffset val="100"/>
        <c:noMultiLvlLbl val="0"/>
      </c:catAx>
      <c:valAx>
        <c:axId val="2185340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85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2024_General_Election_Ghana(1).xlsx]Pivot!PivotTable2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kern="1200" spc="0" baseline="0">
                <a:solidFill>
                  <a:sysClr val="windowText" lastClr="000000"/>
                </a:solidFill>
              </a:rPr>
              <a:t>JDM vs MB vs Others in Volta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6A62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C16F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D3B3B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6A62F"/>
          </a:solidFill>
          <a:ln>
            <a:noFill/>
          </a:ln>
          <a:effectLst/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F7F7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JDM</c:v>
                </c:pt>
              </c:strCache>
            </c:strRef>
          </c:tx>
          <c:spPr>
            <a:solidFill>
              <a:srgbClr val="26A62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4B9-48B1-98A4-8F0ECF936B30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B9-48B1-98A4-8F0ECF936B3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Pivot!$E$4</c:f>
              <c:numCache>
                <c:formatCode>General</c:formatCode>
                <c:ptCount val="1"/>
                <c:pt idx="0">
                  <c:v>584234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9-48B1-98A4-8F0ECF936B30}"/>
            </c:ext>
          </c:extLst>
        </c:ser>
        <c:ser>
          <c:idx val="1"/>
          <c:order val="1"/>
          <c:tx>
            <c:strRef>
              <c:f>Pivot!$F$3</c:f>
              <c:strCache>
                <c:ptCount val="1"/>
                <c:pt idx="0">
                  <c:v>MB</c:v>
                </c:pt>
              </c:strCache>
            </c:strRef>
          </c:tx>
          <c:spPr>
            <a:solidFill>
              <a:srgbClr val="0C16F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Pivot!$F$4</c:f>
              <c:numCache>
                <c:formatCode>General</c:formatCode>
                <c:ptCount val="1"/>
                <c:pt idx="0">
                  <c:v>56699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9-48B1-98A4-8F0ECF936B30}"/>
            </c:ext>
          </c:extLst>
        </c:ser>
        <c:ser>
          <c:idx val="2"/>
          <c:order val="2"/>
          <c:tx>
            <c:strRef>
              <c:f>Pivot!$G$3</c:f>
              <c:strCache>
                <c:ptCount val="1"/>
                <c:pt idx="0">
                  <c:v>Others.</c:v>
                </c:pt>
              </c:strCache>
            </c:strRef>
          </c:tx>
          <c:spPr>
            <a:solidFill>
              <a:srgbClr val="3D3B3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F7F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4B9-48B1-98A4-8F0ECF936B30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Pivot!$G$4</c:f>
              <c:numCache>
                <c:formatCode>General</c:formatCode>
                <c:ptCount val="1"/>
                <c:pt idx="0">
                  <c:v>591655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9-48B1-98A4-8F0ECF936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540736"/>
        <c:axId val="218518656"/>
      </c:barChart>
      <c:catAx>
        <c:axId val="218540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8518656"/>
        <c:crosses val="autoZero"/>
        <c:auto val="1"/>
        <c:lblAlgn val="ctr"/>
        <c:lblOffset val="100"/>
        <c:noMultiLvlLbl val="0"/>
      </c:catAx>
      <c:valAx>
        <c:axId val="218518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854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2024_General_Election_Ghana(1).xlsx]Pivot!PivotTable11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kern="1200" spc="0" baseline="0">
                <a:solidFill>
                  <a:sysClr val="windowText" lastClr="000000"/>
                </a:solidFill>
              </a:rPr>
              <a:t>Total Votes by Region JDM vs MB vs Others</a:t>
            </a:r>
          </a:p>
        </c:rich>
      </c:tx>
      <c:layout>
        <c:manualLayout>
          <c:xMode val="edge"/>
          <c:yMode val="edge"/>
          <c:x val="0.27328129749659252"/>
          <c:y val="6.6417600664176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6A62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5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C16F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F7F7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5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F7F7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0">
              <a:spAutoFit/>
            </a:bodyPr>
            <a:lstStyle/>
            <a:p>
              <a:pPr>
                <a:defRPr sz="5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C16F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5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6A62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0">
              <a:spAutoFit/>
            </a:bodyPr>
            <a:lstStyle/>
            <a:p>
              <a:pPr>
                <a:defRPr sz="5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F7F7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0">
              <a:spAutoFit/>
            </a:bodyPr>
            <a:lstStyle/>
            <a:p>
              <a:pPr>
                <a:defRPr sz="5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C16F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5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6A62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0">
              <a:spAutoFit/>
            </a:bodyPr>
            <a:lstStyle/>
            <a:p>
              <a:pPr>
                <a:defRPr sz="5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Pivot!$D$12</c:f>
              <c:strCache>
                <c:ptCount val="1"/>
                <c:pt idx="0">
                  <c:v>Others.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5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Pivot!$C$13:$C$29</c:f>
              <c:strCache>
                <c:ptCount val="16"/>
                <c:pt idx="0">
                  <c:v>Greater Accra</c:v>
                </c:pt>
                <c:pt idx="1">
                  <c:v>Ashanti</c:v>
                </c:pt>
                <c:pt idx="2">
                  <c:v>Volta</c:v>
                </c:pt>
                <c:pt idx="3">
                  <c:v>Central</c:v>
                </c:pt>
                <c:pt idx="4">
                  <c:v>Northern</c:v>
                </c:pt>
                <c:pt idx="5">
                  <c:v>Eastern</c:v>
                </c:pt>
                <c:pt idx="6">
                  <c:v>Western</c:v>
                </c:pt>
                <c:pt idx="7">
                  <c:v>Upper East</c:v>
                </c:pt>
                <c:pt idx="8">
                  <c:v>Upper West</c:v>
                </c:pt>
                <c:pt idx="9">
                  <c:v>Bono </c:v>
                </c:pt>
                <c:pt idx="10">
                  <c:v>Bono East</c:v>
                </c:pt>
                <c:pt idx="11">
                  <c:v>Western North</c:v>
                </c:pt>
                <c:pt idx="12">
                  <c:v>Oti</c:v>
                </c:pt>
                <c:pt idx="13">
                  <c:v>Savannah</c:v>
                </c:pt>
                <c:pt idx="14">
                  <c:v>Ahafo</c:v>
                </c:pt>
                <c:pt idx="15">
                  <c:v>North East</c:v>
                </c:pt>
              </c:strCache>
            </c:strRef>
          </c:cat>
          <c:val>
            <c:numRef>
              <c:f>Pivot!$D$13:$D$29</c:f>
              <c:numCache>
                <c:formatCode>General</c:formatCode>
                <c:ptCount val="16"/>
                <c:pt idx="0">
                  <c:v>1295544</c:v>
                </c:pt>
                <c:pt idx="1">
                  <c:v>739308</c:v>
                </c:pt>
                <c:pt idx="2">
                  <c:v>591655</c:v>
                </c:pt>
                <c:pt idx="3">
                  <c:v>582802</c:v>
                </c:pt>
                <c:pt idx="4">
                  <c:v>543794</c:v>
                </c:pt>
                <c:pt idx="5">
                  <c:v>1295544</c:v>
                </c:pt>
                <c:pt idx="6">
                  <c:v>442836</c:v>
                </c:pt>
                <c:pt idx="7">
                  <c:v>370826</c:v>
                </c:pt>
                <c:pt idx="8">
                  <c:v>249642</c:v>
                </c:pt>
                <c:pt idx="9">
                  <c:v>245713</c:v>
                </c:pt>
                <c:pt idx="10">
                  <c:v>222229</c:v>
                </c:pt>
                <c:pt idx="11">
                  <c:v>207987</c:v>
                </c:pt>
                <c:pt idx="12">
                  <c:v>186481</c:v>
                </c:pt>
                <c:pt idx="13">
                  <c:v>138335</c:v>
                </c:pt>
                <c:pt idx="14">
                  <c:v>133764</c:v>
                </c:pt>
                <c:pt idx="15">
                  <c:v>114551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0-4848-A3BA-7279ABB70BB7}"/>
            </c:ext>
          </c:extLst>
        </c:ser>
        <c:ser>
          <c:idx val="1"/>
          <c:order val="1"/>
          <c:tx>
            <c:strRef>
              <c:f>Pivot!$E$12</c:f>
              <c:strCache>
                <c:ptCount val="1"/>
                <c:pt idx="0">
                  <c:v>MB</c:v>
                </c:pt>
              </c:strCache>
            </c:strRef>
          </c:tx>
          <c:spPr>
            <a:solidFill>
              <a:srgbClr val="0C16F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5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Pivot!$C$13:$C$29</c:f>
              <c:strCache>
                <c:ptCount val="16"/>
                <c:pt idx="0">
                  <c:v>Greater Accra</c:v>
                </c:pt>
                <c:pt idx="1">
                  <c:v>Ashanti</c:v>
                </c:pt>
                <c:pt idx="2">
                  <c:v>Volta</c:v>
                </c:pt>
                <c:pt idx="3">
                  <c:v>Central</c:v>
                </c:pt>
                <c:pt idx="4">
                  <c:v>Northern</c:v>
                </c:pt>
                <c:pt idx="5">
                  <c:v>Eastern</c:v>
                </c:pt>
                <c:pt idx="6">
                  <c:v>Western</c:v>
                </c:pt>
                <c:pt idx="7">
                  <c:v>Upper East</c:v>
                </c:pt>
                <c:pt idx="8">
                  <c:v>Upper West</c:v>
                </c:pt>
                <c:pt idx="9">
                  <c:v>Bono </c:v>
                </c:pt>
                <c:pt idx="10">
                  <c:v>Bono East</c:v>
                </c:pt>
                <c:pt idx="11">
                  <c:v>Western North</c:v>
                </c:pt>
                <c:pt idx="12">
                  <c:v>Oti</c:v>
                </c:pt>
                <c:pt idx="13">
                  <c:v>Savannah</c:v>
                </c:pt>
                <c:pt idx="14">
                  <c:v>Ahafo</c:v>
                </c:pt>
                <c:pt idx="15">
                  <c:v>North East</c:v>
                </c:pt>
              </c:strCache>
            </c:strRef>
          </c:cat>
          <c:val>
            <c:numRef>
              <c:f>Pivot!$E$13:$E$29</c:f>
              <c:numCache>
                <c:formatCode>General</c:formatCode>
                <c:ptCount val="16"/>
                <c:pt idx="0">
                  <c:v>681535</c:v>
                </c:pt>
                <c:pt idx="1">
                  <c:v>1366800</c:v>
                </c:pt>
                <c:pt idx="2">
                  <c:v>56699</c:v>
                </c:pt>
                <c:pt idx="3">
                  <c:v>382749</c:v>
                </c:pt>
                <c:pt idx="4">
                  <c:v>370928</c:v>
                </c:pt>
                <c:pt idx="5">
                  <c:v>493234</c:v>
                </c:pt>
                <c:pt idx="6">
                  <c:v>275231</c:v>
                </c:pt>
                <c:pt idx="7">
                  <c:v>106700</c:v>
                </c:pt>
                <c:pt idx="8">
                  <c:v>89906</c:v>
                </c:pt>
                <c:pt idx="9">
                  <c:v>192773</c:v>
                </c:pt>
                <c:pt idx="10">
                  <c:v>124811</c:v>
                </c:pt>
                <c:pt idx="11">
                  <c:v>124024</c:v>
                </c:pt>
                <c:pt idx="12">
                  <c:v>86489</c:v>
                </c:pt>
                <c:pt idx="13">
                  <c:v>56774</c:v>
                </c:pt>
                <c:pt idx="14">
                  <c:v>113851</c:v>
                </c:pt>
                <c:pt idx="15">
                  <c:v>134800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0-4848-A3BA-7279ABB70BB7}"/>
            </c:ext>
          </c:extLst>
        </c:ser>
        <c:ser>
          <c:idx val="2"/>
          <c:order val="2"/>
          <c:tx>
            <c:strRef>
              <c:f>Pivot!$F$12</c:f>
              <c:strCache>
                <c:ptCount val="1"/>
                <c:pt idx="0">
                  <c:v>JDM</c:v>
                </c:pt>
              </c:strCache>
            </c:strRef>
          </c:tx>
          <c:spPr>
            <a:solidFill>
              <a:srgbClr val="26A62F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5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Pivot!$C$13:$C$29</c:f>
              <c:strCache>
                <c:ptCount val="16"/>
                <c:pt idx="0">
                  <c:v>Greater Accra</c:v>
                </c:pt>
                <c:pt idx="1">
                  <c:v>Ashanti</c:v>
                </c:pt>
                <c:pt idx="2">
                  <c:v>Volta</c:v>
                </c:pt>
                <c:pt idx="3">
                  <c:v>Central</c:v>
                </c:pt>
                <c:pt idx="4">
                  <c:v>Northern</c:v>
                </c:pt>
                <c:pt idx="5">
                  <c:v>Eastern</c:v>
                </c:pt>
                <c:pt idx="6">
                  <c:v>Western</c:v>
                </c:pt>
                <c:pt idx="7">
                  <c:v>Upper East</c:v>
                </c:pt>
                <c:pt idx="8">
                  <c:v>Upper West</c:v>
                </c:pt>
                <c:pt idx="9">
                  <c:v>Bono </c:v>
                </c:pt>
                <c:pt idx="10">
                  <c:v>Bono East</c:v>
                </c:pt>
                <c:pt idx="11">
                  <c:v>Western North</c:v>
                </c:pt>
                <c:pt idx="12">
                  <c:v>Oti</c:v>
                </c:pt>
                <c:pt idx="13">
                  <c:v>Savannah</c:v>
                </c:pt>
                <c:pt idx="14">
                  <c:v>Ahafo</c:v>
                </c:pt>
                <c:pt idx="15">
                  <c:v>North East</c:v>
                </c:pt>
              </c:strCache>
            </c:strRef>
          </c:cat>
          <c:val>
            <c:numRef>
              <c:f>Pivot!$F$13:$F$29</c:f>
              <c:numCache>
                <c:formatCode>General</c:formatCode>
                <c:ptCount val="16"/>
                <c:pt idx="0">
                  <c:v>1260832</c:v>
                </c:pt>
                <c:pt idx="1">
                  <c:v>697076</c:v>
                </c:pt>
                <c:pt idx="2">
                  <c:v>584234</c:v>
                </c:pt>
                <c:pt idx="3">
                  <c:v>562620</c:v>
                </c:pt>
                <c:pt idx="4">
                  <c:v>529456</c:v>
                </c:pt>
                <c:pt idx="5">
                  <c:v>453234</c:v>
                </c:pt>
                <c:pt idx="6">
                  <c:v>423245</c:v>
                </c:pt>
                <c:pt idx="7">
                  <c:v>361597</c:v>
                </c:pt>
                <c:pt idx="8">
                  <c:v>242852</c:v>
                </c:pt>
                <c:pt idx="9">
                  <c:v>235681</c:v>
                </c:pt>
                <c:pt idx="10">
                  <c:v>216691</c:v>
                </c:pt>
                <c:pt idx="11">
                  <c:v>202689</c:v>
                </c:pt>
                <c:pt idx="12">
                  <c:v>182470</c:v>
                </c:pt>
                <c:pt idx="13">
                  <c:v>134563</c:v>
                </c:pt>
                <c:pt idx="14">
                  <c:v>130106</c:v>
                </c:pt>
                <c:pt idx="15">
                  <c:v>111051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0-4848-A3BA-7279ABB70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6089408"/>
        <c:axId val="1746091328"/>
      </c:barChart>
      <c:catAx>
        <c:axId val="17460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91328"/>
        <c:crosses val="autoZero"/>
        <c:auto val="1"/>
        <c:lblAlgn val="ctr"/>
        <c:lblOffset val="100"/>
        <c:noMultiLvlLbl val="0"/>
      </c:catAx>
      <c:valAx>
        <c:axId val="1746091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608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88900</xdr:rowOff>
    </xdr:from>
    <xdr:to>
      <xdr:col>6</xdr:col>
      <xdr:colOff>469900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34AB0-C8BB-42B3-878D-171068B61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457200</xdr:colOff>
      <xdr:row>23</xdr:row>
      <xdr:rowOff>177800</xdr:rowOff>
    </xdr:from>
    <xdr:to>
      <xdr:col>19</xdr:col>
      <xdr:colOff>317500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47120E-E386-4E9F-8FEB-0892C4FC4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400050</xdr:colOff>
      <xdr:row>21</xdr:row>
      <xdr:rowOff>95250</xdr:rowOff>
    </xdr:from>
    <xdr:to>
      <xdr:col>14</xdr:col>
      <xdr:colOff>12700</xdr:colOff>
      <xdr:row>38</xdr:row>
      <xdr:rowOff>24130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176058-1F7A-44DD-B50E-DD16AD30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19</xdr:row>
      <xdr:rowOff>165100</xdr:rowOff>
    </xdr:from>
    <xdr:to>
      <xdr:col>18</xdr:col>
      <xdr:colOff>438150</xdr:colOff>
      <xdr:row>20</xdr:row>
      <xdr:rowOff>6350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637BE8D-F4AE-7659-05A4-0B36274E0ECC}"/>
            </a:ext>
          </a:extLst>
        </xdr:cNvPr>
        <xdr:cNvCxnSpPr/>
      </xdr:nvCxnSpPr>
      <xdr:spPr>
        <a:xfrm flipV="1">
          <a:off x="19050" y="3663950"/>
          <a:ext cx="11391900" cy="25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279400</xdr:colOff>
      <xdr:row>10</xdr:row>
      <xdr:rowOff>120650</xdr:rowOff>
    </xdr:from>
    <xdr:to>
      <xdr:col>9</xdr:col>
      <xdr:colOff>381000</xdr:colOff>
      <xdr:row>13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80993F2-0130-0D56-50FE-CD6196D6F5A8}"/>
            </a:ext>
          </a:extLst>
        </xdr:cNvPr>
        <xdr:cNvSpPr/>
      </xdr:nvSpPr>
      <xdr:spPr>
        <a:xfrm>
          <a:off x="279400" y="1962150"/>
          <a:ext cx="5588000" cy="450850"/>
        </a:xfrm>
        <a:prstGeom prst="rect">
          <a:avLst/>
        </a:prstGeom>
        <a:solidFill>
          <a:srgbClr val="26A6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977900</xdr:colOff>
      <xdr:row>10</xdr:row>
      <xdr:rowOff>120650</xdr:rowOff>
    </xdr:from>
    <xdr:to>
      <xdr:col>19</xdr:col>
      <xdr:colOff>57150</xdr:colOff>
      <xdr:row>13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3D29381-E206-4199-B3A2-9863A6CD8686}"/>
            </a:ext>
          </a:extLst>
        </xdr:cNvPr>
        <xdr:cNvSpPr/>
      </xdr:nvSpPr>
      <xdr:spPr>
        <a:xfrm>
          <a:off x="6464300" y="1962150"/>
          <a:ext cx="5588000" cy="450850"/>
        </a:xfrm>
        <a:prstGeom prst="rect">
          <a:avLst/>
        </a:prstGeom>
        <a:solidFill>
          <a:srgbClr val="0C16F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0C16F5"/>
            </a:solidFill>
          </a:endParaRPr>
        </a:p>
      </xdr:txBody>
    </xdr:sp>
    <xdr:clientData/>
  </xdr:twoCellAnchor>
  <xdr:twoCellAnchor>
    <xdr:from>
      <xdr:col>0</xdr:col>
      <xdr:colOff>0</xdr:colOff>
      <xdr:row>5</xdr:row>
      <xdr:rowOff>44450</xdr:rowOff>
    </xdr:from>
    <xdr:to>
      <xdr:col>18</xdr:col>
      <xdr:colOff>419100</xdr:colOff>
      <xdr:row>5</xdr:row>
      <xdr:rowOff>69850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C8B59AB-6C0E-4F1E-800A-3C4277878597}"/>
            </a:ext>
          </a:extLst>
        </xdr:cNvPr>
        <xdr:cNvCxnSpPr/>
      </xdr:nvCxnSpPr>
      <xdr:spPr>
        <a:xfrm flipV="1">
          <a:off x="0" y="965200"/>
          <a:ext cx="11804650" cy="25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177800</xdr:rowOff>
    </xdr:from>
    <xdr:to>
      <xdr:col>18</xdr:col>
      <xdr:colOff>495300</xdr:colOff>
      <xdr:row>9</xdr:row>
      <xdr:rowOff>19050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6ADA231-5C8C-46E7-A691-459E431F896E}"/>
            </a:ext>
          </a:extLst>
        </xdr:cNvPr>
        <xdr:cNvCxnSpPr/>
      </xdr:nvCxnSpPr>
      <xdr:spPr>
        <a:xfrm flipV="1">
          <a:off x="76200" y="1651000"/>
          <a:ext cx="11804650" cy="25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bby's Office" refreshedDate="45760.804699189815" createdVersion="8" refreshedVersion="8" minRefreshableVersion="3" recordCount="16" xr:uid="{CC23AD97-C735-44BB-9B73-CE086F380B75}">
  <cacheSource type="worksheet">
    <worksheetSource name="Table35"/>
  </cacheSource>
  <cacheFields count="5">
    <cacheField name="Region" numFmtId="0">
      <sharedItems count="16">
        <s v="Greater Accra"/>
        <s v="Ashanti"/>
        <s v="Volta"/>
        <s v="Central"/>
        <s v="Western"/>
        <s v="Western North"/>
        <s v="Bono "/>
        <s v="Ahafo"/>
        <s v="Eastern"/>
        <s v="Northern"/>
        <s v="North East"/>
        <s v="Savannah"/>
        <s v="Oti"/>
        <s v="Upper East"/>
        <s v="Upper West"/>
        <s v="Bono East"/>
      </sharedItems>
    </cacheField>
    <cacheField name="John D. Mahama" numFmtId="0">
      <sharedItems containsSemiMixedTypes="0" containsString="0" containsNumber="1" containsInteger="1" minValue="111051" maxValue="1260832" count="16">
        <n v="1260832"/>
        <n v="697076"/>
        <n v="584234"/>
        <n v="562620"/>
        <n v="423245"/>
        <n v="202689"/>
        <n v="235681"/>
        <n v="130106"/>
        <n v="453234"/>
        <n v="529456"/>
        <n v="111051"/>
        <n v="134563"/>
        <n v="182470"/>
        <n v="361597"/>
        <n v="242852"/>
        <n v="216691"/>
      </sharedItems>
    </cacheField>
    <cacheField name="Mahamudu Bawumia" numFmtId="0">
      <sharedItems containsSemiMixedTypes="0" containsString="0" containsNumber="1" containsInteger="1" minValue="56699" maxValue="1366800" count="16">
        <n v="681535"/>
        <n v="1366800"/>
        <n v="56699"/>
        <n v="382749"/>
        <n v="275231"/>
        <n v="124024"/>
        <n v="192773"/>
        <n v="113851"/>
        <n v="493234"/>
        <n v="370928"/>
        <n v="134800"/>
        <n v="56774"/>
        <n v="86489"/>
        <n v="106700"/>
        <n v="89906"/>
        <n v="124811"/>
      </sharedItems>
    </cacheField>
    <cacheField name="Others" numFmtId="0">
      <sharedItems containsSemiMixedTypes="0" containsString="0" containsNumber="1" containsInteger="1" minValue="114551" maxValue="1295544" count="15">
        <n v="1295544"/>
        <n v="739308"/>
        <n v="591655"/>
        <n v="582802"/>
        <n v="442836"/>
        <n v="207987"/>
        <n v="245713"/>
        <n v="133764"/>
        <n v="543794"/>
        <n v="114551"/>
        <n v="138335"/>
        <n v="186481"/>
        <n v="370826"/>
        <n v="249642"/>
        <n v="222229"/>
      </sharedItems>
    </cacheField>
    <cacheField name="Valid Votes" numFmtId="0">
      <sharedItems containsSemiMixedTypes="0" containsString="0" containsNumber="1" containsInteger="1" minValue="329672" maxValue="3237911"/>
    </cacheField>
  </cacheFields>
  <extLst>
    <ext xmlns:x14="http://schemas.microsoft.com/office/spreadsheetml/2009/9/main" uri="{725AE2AE-9491-48be-B2B4-4EB974FC3084}">
      <x14:pivotCacheDefinition pivotCacheId="99957169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bby's Office" refreshedDate="45761.548572453707" backgroundQuery="1" createdVersion="8" refreshedVersion="8" minRefreshableVersion="3" recordCount="16" xr:uid="{3CF6B633-B875-406D-A3C2-D5FAB03AA9AC}">
  <cacheSource type="external" connectionId="4"/>
  <cacheFields count="5">
    <cacheField name="Region" numFmtId="0">
      <sharedItems count="16">
        <s v="Greater Accra"/>
        <s v="Ashanti"/>
        <s v="Eastern"/>
        <s v="Central"/>
        <s v="Northern"/>
        <s v="Volta"/>
        <s v="Western"/>
        <s v="Upper East"/>
        <s v="Bono "/>
        <s v="Upper West"/>
        <s v="Bono East"/>
        <s v="Western North"/>
        <s v="Oti"/>
        <s v="Ahafo"/>
        <s v="North East"/>
        <s v="Savannah"/>
      </sharedItems>
    </cacheField>
    <cacheField name="John D. Mahama" numFmtId="0">
      <sharedItems containsSemiMixedTypes="0" containsString="0" containsNumber="1" containsInteger="1" minValue="111051" maxValue="1260832" count="16">
        <n v="1260832"/>
        <n v="697076"/>
        <n v="453234"/>
        <n v="562620"/>
        <n v="529456"/>
        <n v="584234"/>
        <n v="423245"/>
        <n v="361597"/>
        <n v="235681"/>
        <n v="242852"/>
        <n v="216691"/>
        <n v="202689"/>
        <n v="182470"/>
        <n v="130106"/>
        <n v="111051"/>
        <n v="134563"/>
      </sharedItems>
    </cacheField>
    <cacheField name="Mahamudu Bawumia" numFmtId="0">
      <sharedItems containsSemiMixedTypes="0" containsString="0" containsNumber="1" containsInteger="1" minValue="56699" maxValue="1366800" count="16">
        <n v="681535"/>
        <n v="1366800"/>
        <n v="493234"/>
        <n v="382749"/>
        <n v="370928"/>
        <n v="56699"/>
        <n v="275231"/>
        <n v="106700"/>
        <n v="192773"/>
        <n v="89906"/>
        <n v="124811"/>
        <n v="124024"/>
        <n v="86489"/>
        <n v="113851"/>
        <n v="134800"/>
        <n v="56774"/>
      </sharedItems>
    </cacheField>
    <cacheField name="Others" numFmtId="0">
      <sharedItems containsSemiMixedTypes="0" containsString="0" containsNumber="1" containsInteger="1" minValue="114551" maxValue="1295544" count="15">
        <n v="1295544"/>
        <n v="739308"/>
        <n v="582802"/>
        <n v="543794"/>
        <n v="591655"/>
        <n v="442836"/>
        <n v="370826"/>
        <n v="245713"/>
        <n v="249642"/>
        <n v="222229"/>
        <n v="207987"/>
        <n v="186481"/>
        <n v="133764"/>
        <n v="114551"/>
        <n v="138335"/>
      </sharedItems>
    </cacheField>
    <cacheField name="Valid Votes" numFmtId="0">
      <sharedItems containsSemiMixedTypes="0" containsString="0" containsNumber="1" containsInteger="1" minValue="329672" maxValue="3237911" count="16">
        <n v="3237911"/>
        <n v="2803184"/>
        <n v="2242012"/>
        <n v="1528171"/>
        <n v="1444178"/>
        <n v="1232588"/>
        <n v="1141312"/>
        <n v="839123"/>
        <n v="674167"/>
        <n v="582400"/>
        <n v="563731"/>
        <n v="534700"/>
        <n v="455440"/>
        <n v="377721"/>
        <n v="360402"/>
        <n v="32967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  <n v="3237911"/>
  </r>
  <r>
    <x v="1"/>
    <x v="1"/>
    <x v="1"/>
    <x v="1"/>
    <n v="2803184"/>
  </r>
  <r>
    <x v="2"/>
    <x v="2"/>
    <x v="2"/>
    <x v="2"/>
    <n v="1232588"/>
  </r>
  <r>
    <x v="3"/>
    <x v="3"/>
    <x v="3"/>
    <x v="3"/>
    <n v="1528171"/>
  </r>
  <r>
    <x v="4"/>
    <x v="4"/>
    <x v="4"/>
    <x v="4"/>
    <n v="1141312"/>
  </r>
  <r>
    <x v="5"/>
    <x v="5"/>
    <x v="5"/>
    <x v="5"/>
    <n v="534700"/>
  </r>
  <r>
    <x v="6"/>
    <x v="6"/>
    <x v="6"/>
    <x v="6"/>
    <n v="674167"/>
  </r>
  <r>
    <x v="7"/>
    <x v="7"/>
    <x v="7"/>
    <x v="7"/>
    <n v="377721"/>
  </r>
  <r>
    <x v="8"/>
    <x v="8"/>
    <x v="8"/>
    <x v="0"/>
    <n v="2242012"/>
  </r>
  <r>
    <x v="9"/>
    <x v="9"/>
    <x v="9"/>
    <x v="8"/>
    <n v="1444178"/>
  </r>
  <r>
    <x v="10"/>
    <x v="10"/>
    <x v="10"/>
    <x v="9"/>
    <n v="360402"/>
  </r>
  <r>
    <x v="11"/>
    <x v="11"/>
    <x v="11"/>
    <x v="10"/>
    <n v="329672"/>
  </r>
  <r>
    <x v="12"/>
    <x v="12"/>
    <x v="12"/>
    <x v="11"/>
    <n v="455440"/>
  </r>
  <r>
    <x v="13"/>
    <x v="13"/>
    <x v="13"/>
    <x v="12"/>
    <n v="839123"/>
  </r>
  <r>
    <x v="14"/>
    <x v="14"/>
    <x v="14"/>
    <x v="13"/>
    <n v="582400"/>
  </r>
  <r>
    <x v="15"/>
    <x v="15"/>
    <x v="15"/>
    <x v="14"/>
    <n v="5637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  <x v="0"/>
  </r>
  <r>
    <x v="1"/>
    <x v="1"/>
    <x v="1"/>
    <x v="1"/>
    <x v="1"/>
  </r>
  <r>
    <x v="2"/>
    <x v="2"/>
    <x v="2"/>
    <x v="0"/>
    <x v="2"/>
  </r>
  <r>
    <x v="3"/>
    <x v="3"/>
    <x v="3"/>
    <x v="2"/>
    <x v="3"/>
  </r>
  <r>
    <x v="4"/>
    <x v="4"/>
    <x v="4"/>
    <x v="3"/>
    <x v="4"/>
  </r>
  <r>
    <x v="5"/>
    <x v="5"/>
    <x v="5"/>
    <x v="4"/>
    <x v="5"/>
  </r>
  <r>
    <x v="6"/>
    <x v="6"/>
    <x v="6"/>
    <x v="5"/>
    <x v="6"/>
  </r>
  <r>
    <x v="7"/>
    <x v="7"/>
    <x v="7"/>
    <x v="6"/>
    <x v="7"/>
  </r>
  <r>
    <x v="8"/>
    <x v="8"/>
    <x v="8"/>
    <x v="7"/>
    <x v="8"/>
  </r>
  <r>
    <x v="9"/>
    <x v="9"/>
    <x v="9"/>
    <x v="8"/>
    <x v="9"/>
  </r>
  <r>
    <x v="10"/>
    <x v="10"/>
    <x v="10"/>
    <x v="9"/>
    <x v="10"/>
  </r>
  <r>
    <x v="11"/>
    <x v="11"/>
    <x v="11"/>
    <x v="10"/>
    <x v="11"/>
  </r>
  <r>
    <x v="12"/>
    <x v="12"/>
    <x v="12"/>
    <x v="11"/>
    <x v="12"/>
  </r>
  <r>
    <x v="13"/>
    <x v="13"/>
    <x v="13"/>
    <x v="12"/>
    <x v="13"/>
  </r>
  <r>
    <x v="14"/>
    <x v="14"/>
    <x v="14"/>
    <x v="13"/>
    <x v="14"/>
  </r>
  <r>
    <x v="15"/>
    <x v="15"/>
    <x v="15"/>
    <x v="14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4CA50-A5B6-483B-8550-47A98CD0EA7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C12:F29" firstHeaderRow="0" firstDataRow="1" firstDataCol="1"/>
  <pivotFields count="5">
    <pivotField axis="axisRow" showAll="0" sortType="descending">
      <items count="17">
        <item x="7"/>
        <item x="1"/>
        <item x="6"/>
        <item x="15"/>
        <item x="3"/>
        <item x="8"/>
        <item x="0"/>
        <item x="10"/>
        <item x="9"/>
        <item x="12"/>
        <item x="11"/>
        <item x="13"/>
        <item x="14"/>
        <item x="2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>
      <items count="17">
        <item x="10"/>
        <item x="7"/>
        <item x="11"/>
        <item x="12"/>
        <item x="5"/>
        <item x="15"/>
        <item x="6"/>
        <item x="14"/>
        <item x="13"/>
        <item x="4"/>
        <item x="8"/>
        <item x="9"/>
        <item x="3"/>
        <item x="2"/>
        <item x="1"/>
        <item x="0"/>
        <item t="default"/>
      </items>
    </pivotField>
    <pivotField dataField="1" showAll="0">
      <items count="17">
        <item x="2"/>
        <item x="11"/>
        <item x="12"/>
        <item x="14"/>
        <item x="13"/>
        <item x="7"/>
        <item x="5"/>
        <item x="15"/>
        <item x="10"/>
        <item x="6"/>
        <item x="4"/>
        <item x="9"/>
        <item x="3"/>
        <item x="8"/>
        <item x="0"/>
        <item x="1"/>
        <item t="default"/>
      </items>
    </pivotField>
    <pivotField dataField="1" showAll="0">
      <items count="16">
        <item x="9"/>
        <item x="7"/>
        <item x="10"/>
        <item x="11"/>
        <item x="5"/>
        <item x="14"/>
        <item x="6"/>
        <item x="13"/>
        <item x="12"/>
        <item x="4"/>
        <item x="8"/>
        <item x="3"/>
        <item x="2"/>
        <item x="1"/>
        <item x="0"/>
        <item t="default"/>
      </items>
    </pivotField>
    <pivotField showAll="0"/>
  </pivotFields>
  <rowFields count="1">
    <field x="0"/>
  </rowFields>
  <rowItems count="17">
    <i>
      <x v="6"/>
    </i>
    <i>
      <x v="1"/>
    </i>
    <i>
      <x v="13"/>
    </i>
    <i>
      <x v="4"/>
    </i>
    <i>
      <x v="8"/>
    </i>
    <i>
      <x v="5"/>
    </i>
    <i>
      <x v="14"/>
    </i>
    <i>
      <x v="11"/>
    </i>
    <i>
      <x v="12"/>
    </i>
    <i>
      <x v="2"/>
    </i>
    <i>
      <x v="3"/>
    </i>
    <i>
      <x v="15"/>
    </i>
    <i>
      <x v="9"/>
    </i>
    <i>
      <x v="10"/>
    </i>
    <i>
      <x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thers." fld="3" baseField="0" baseItem="2"/>
    <dataField name="MB" fld="2" baseField="0" baseItem="1"/>
    <dataField name="JDM" fld="1" baseField="0" baseItem="1"/>
  </dataFields>
  <chartFormats count="11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0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6B084-1DED-4BE9-9F03-A1127080F6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E3:G4" firstHeaderRow="0" firstDataRow="1" firstDataCol="0" rowPageCount="1" colPageCount="1"/>
  <pivotFields count="5">
    <pivotField axis="axisPage" showAll="0">
      <items count="17">
        <item x="7"/>
        <item x="1"/>
        <item x="6"/>
        <item x="15"/>
        <item x="3"/>
        <item x="8"/>
        <item x="0"/>
        <item x="10"/>
        <item x="9"/>
        <item x="12"/>
        <item x="11"/>
        <item x="13"/>
        <item x="14"/>
        <item x="2"/>
        <item x="4"/>
        <item x="5"/>
        <item t="default"/>
      </items>
    </pivotField>
    <pivotField dataField="1" showAll="0">
      <items count="17">
        <item x="10"/>
        <item x="7"/>
        <item x="11"/>
        <item x="12"/>
        <item x="5"/>
        <item x="15"/>
        <item x="6"/>
        <item x="14"/>
        <item x="13"/>
        <item x="4"/>
        <item x="8"/>
        <item x="9"/>
        <item x="3"/>
        <item x="2"/>
        <item x="1"/>
        <item x="0"/>
        <item t="default"/>
      </items>
    </pivotField>
    <pivotField dataField="1" showAll="0">
      <items count="17">
        <item x="2"/>
        <item x="11"/>
        <item x="12"/>
        <item x="14"/>
        <item x="13"/>
        <item x="7"/>
        <item x="5"/>
        <item x="15"/>
        <item x="10"/>
        <item x="6"/>
        <item x="4"/>
        <item x="9"/>
        <item x="3"/>
        <item x="8"/>
        <item x="0"/>
        <item x="1"/>
        <item t="default"/>
      </items>
    </pivotField>
    <pivotField dataField="1" showAll="0">
      <items count="16">
        <item x="9"/>
        <item x="7"/>
        <item x="10"/>
        <item x="11"/>
        <item x="5"/>
        <item x="14"/>
        <item x="6"/>
        <item x="13"/>
        <item x="12"/>
        <item x="4"/>
        <item x="8"/>
        <item x="3"/>
        <item x="2"/>
        <item x="1"/>
        <item x="0"/>
        <item t="default"/>
      </items>
    </pivotField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0" item="13" hier="-1"/>
  </pageFields>
  <dataFields count="3">
    <dataField name="JDM" fld="1" baseField="0" baseItem="1"/>
    <dataField name="MB" fld="2" baseField="0" baseItem="1"/>
    <dataField name="Others." fld="3" baseField="0" baseItem="2"/>
  </dataFields>
  <chartFormats count="5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5B007-F099-4A4C-A637-5A45E489C8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A3:C4" firstHeaderRow="0" firstDataRow="1" firstDataCol="0" rowPageCount="1" colPageCount="1"/>
  <pivotFields count="5">
    <pivotField axis="axisPage" showAll="0">
      <items count="17">
        <item x="7"/>
        <item x="1"/>
        <item x="6"/>
        <item x="15"/>
        <item x="3"/>
        <item x="8"/>
        <item x="0"/>
        <item x="10"/>
        <item x="9"/>
        <item x="12"/>
        <item x="11"/>
        <item x="13"/>
        <item x="14"/>
        <item x="2"/>
        <item x="4"/>
        <item x="5"/>
        <item t="default"/>
      </items>
    </pivotField>
    <pivotField dataField="1" showAll="0">
      <items count="17">
        <item x="10"/>
        <item x="7"/>
        <item x="11"/>
        <item x="12"/>
        <item x="5"/>
        <item x="15"/>
        <item x="6"/>
        <item x="14"/>
        <item x="13"/>
        <item x="4"/>
        <item x="8"/>
        <item x="9"/>
        <item x="3"/>
        <item x="2"/>
        <item x="1"/>
        <item x="0"/>
        <item t="default"/>
      </items>
    </pivotField>
    <pivotField dataField="1" showAll="0">
      <items count="17">
        <item x="2"/>
        <item x="11"/>
        <item x="12"/>
        <item x="14"/>
        <item x="13"/>
        <item x="7"/>
        <item x="5"/>
        <item x="15"/>
        <item x="10"/>
        <item x="6"/>
        <item x="4"/>
        <item x="9"/>
        <item x="3"/>
        <item x="8"/>
        <item x="0"/>
        <item x="1"/>
        <item t="default"/>
      </items>
    </pivotField>
    <pivotField dataField="1" showAll="0">
      <items count="16">
        <item x="9"/>
        <item x="7"/>
        <item x="10"/>
        <item x="11"/>
        <item x="5"/>
        <item x="14"/>
        <item x="6"/>
        <item x="13"/>
        <item x="12"/>
        <item x="4"/>
        <item x="8"/>
        <item x="3"/>
        <item x="2"/>
        <item x="1"/>
        <item x="0"/>
        <item t="default"/>
      </items>
    </pivotField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0" item="1" hier="-1"/>
  </pageFields>
  <dataFields count="3">
    <dataField name="MB" fld="2" baseField="0" baseItem="1"/>
    <dataField name="JDM" fld="1" baseField="0" baseItem="1"/>
    <dataField name="Others." fld="3" baseField="0" baseItem="2"/>
  </dataFields>
  <chartFormats count="5"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5C0C8-441C-4D4C-BB2E-3C64AA8022B2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I3:K4" firstHeaderRow="0" firstDataRow="1" firstDataCol="0" rowPageCount="1" colPageCount="1"/>
  <pivotFields count="5">
    <pivotField axis="axisPage" showAll="0">
      <items count="17">
        <item x="7"/>
        <item x="1"/>
        <item x="6"/>
        <item x="15"/>
        <item x="3"/>
        <item x="8"/>
        <item x="0"/>
        <item x="10"/>
        <item x="9"/>
        <item x="12"/>
        <item x="11"/>
        <item x="13"/>
        <item x="14"/>
        <item x="2"/>
        <item x="4"/>
        <item x="5"/>
        <item t="default"/>
      </items>
    </pivotField>
    <pivotField dataField="1" showAll="0">
      <items count="17">
        <item x="10"/>
        <item x="7"/>
        <item x="11"/>
        <item x="12"/>
        <item x="5"/>
        <item x="15"/>
        <item x="6"/>
        <item x="14"/>
        <item x="13"/>
        <item x="4"/>
        <item x="8"/>
        <item x="9"/>
        <item x="3"/>
        <item x="2"/>
        <item x="1"/>
        <item x="0"/>
        <item t="default"/>
      </items>
    </pivotField>
    <pivotField dataField="1" showAll="0">
      <items count="17">
        <item x="2"/>
        <item x="11"/>
        <item x="12"/>
        <item x="14"/>
        <item x="13"/>
        <item x="7"/>
        <item x="5"/>
        <item x="15"/>
        <item x="10"/>
        <item x="6"/>
        <item x="4"/>
        <item x="9"/>
        <item x="3"/>
        <item x="8"/>
        <item x="0"/>
        <item x="1"/>
        <item t="default"/>
      </items>
    </pivotField>
    <pivotField dataField="1" showAll="0">
      <items count="16">
        <item x="9"/>
        <item x="7"/>
        <item x="10"/>
        <item x="11"/>
        <item x="5"/>
        <item x="14"/>
        <item x="6"/>
        <item x="13"/>
        <item x="12"/>
        <item x="4"/>
        <item x="8"/>
        <item x="3"/>
        <item x="2"/>
        <item x="1"/>
        <item x="0"/>
        <item t="default"/>
      </items>
    </pivotField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0" item="13" hier="-1"/>
  </pageFields>
  <dataFields count="3">
    <dataField name="JDM" fld="1" baseField="0" baseItem="1"/>
    <dataField name="MB" fld="2" baseField="0" baseItem="1"/>
    <dataField name="Others." fld="3" baseField="0" baseItem="2"/>
  </dataFields>
  <chartFormats count="5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D3DB1-F104-4B8C-A5BB-8205A6A145D3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G10:I27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69389-6D0D-4A21-8570-64BEDB7EBCCB}" name="Table1" displayName="Table1" ref="A1:C194" totalsRowCount="1" headerRowDxfId="7">
  <autoFilter ref="A1:C193" xr:uid="{97695764-A2B7-4601-AC20-17C8AAC9A026}">
    <filterColumn colId="0">
      <filters>
        <filter val="ALAN JOHN KWADWO KYEREMATEN"/>
        <filter val="CHRISTIAN KWABENA ANDREWS"/>
        <filter val="DANIEL AUGUSTUS LARTEY JNR"/>
        <filter val="GEORGE TWUM-BARIMAH-ADU"/>
        <filter val="HASSAN ABDULAI AYARIGA"/>
        <filter val="KOFI AKPALOO"/>
        <filter val="KOFI KORANTENG"/>
        <filter val="MOHAMMED FRIMPONG"/>
        <filter val="NANA AKOSUA FRIMPOMAA"/>
        <filter val="NANA KWAME BEDIAKO"/>
      </filters>
    </filterColumn>
    <filterColumn colId="2">
      <filters>
        <filter val="Savannah"/>
      </filters>
    </filterColumn>
  </autoFilter>
  <tableColumns count="3">
    <tableColumn id="1" xr3:uid="{817D57C3-058B-460C-ABBA-CA5CF21216F3}" name="Name" dataDxfId="6" totalsRowDxfId="3"/>
    <tableColumn id="2" xr3:uid="{A55128CC-743B-4930-955D-BF4FC12F91EC}" name="Votes Obtained" dataDxfId="5" totalsRowDxfId="2"/>
    <tableColumn id="3" xr3:uid="{44B3E3BF-E4E5-48E3-B7FB-C4A93ABD3E57}" name="Region" dataDxfId="4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F3A4A0-E1DA-4A92-BBB6-3A75D94B95AE}" name="Table35" displayName="Table35" ref="A1:E17" totalsRowShown="0">
  <autoFilter ref="A1:E17" xr:uid="{9EF3A4A0-E1DA-4A92-BBB6-3A75D94B95AE}"/>
  <sortState xmlns:xlrd2="http://schemas.microsoft.com/office/spreadsheetml/2017/richdata2" ref="A2:E17">
    <sortCondition descending="1" ref="E1:E17"/>
  </sortState>
  <tableColumns count="5">
    <tableColumn id="1" xr3:uid="{5C145526-A99B-4C02-AA58-50945D049146}" name="Region"/>
    <tableColumn id="2" xr3:uid="{7DF471D1-1B54-4B4A-86A6-59B4C265FCC1}" name="John D. Mahama"/>
    <tableColumn id="3" xr3:uid="{2A81DF2A-D7E5-433C-8C52-160F99318313}" name="Mahamudu Bawumia"/>
    <tableColumn id="4" xr3:uid="{EDFC784B-A8D5-4BDE-850F-477C89CD597A}" name="Others"/>
    <tableColumn id="5" xr3:uid="{A41A5548-DEF9-4E24-AFA4-2884087BF53C}" name="Valid Votes" dataDxfId="0">
      <calculatedColumnFormula>SUM(Table35[[#This Row],[John D. Mahama]:[Others]])</calculatedColumnFormula>
    </tableColumn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haig">
      <a:dk1>
        <a:srgbClr val="2A5B7F"/>
      </a:dk1>
      <a:lt1>
        <a:sysClr val="window" lastClr="FFFFFF"/>
      </a:lt1>
      <a:dk2>
        <a:srgbClr val="2A5B7F"/>
      </a:dk2>
      <a:lt2>
        <a:srgbClr val="ABDAFC"/>
      </a:lt2>
      <a:accent1>
        <a:srgbClr val="ABDAFC"/>
      </a:accent1>
      <a:accent2>
        <a:srgbClr val="2A5B7F"/>
      </a:accent2>
      <a:accent3>
        <a:srgbClr val="033C66"/>
      </a:accent3>
      <a:accent4>
        <a:srgbClr val="0070C0"/>
      </a:accent4>
      <a:accent5>
        <a:srgbClr val="033C66"/>
      </a:accent5>
      <a:accent6>
        <a:srgbClr val="00B0F0"/>
      </a:accent6>
      <a:hlink>
        <a:srgbClr val="6BA9DA"/>
      </a:hlink>
      <a:folHlink>
        <a:srgbClr val="A0BCD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5764-A2B7-4601-AC20-17C8AAC9A026}">
  <dimension ref="A1:F197"/>
  <sheetViews>
    <sheetView workbookViewId="0">
      <selection activeCell="F195" sqref="F195"/>
    </sheetView>
  </sheetViews>
  <sheetFormatPr defaultRowHeight="14.5" x14ac:dyDescent="0.35"/>
  <cols>
    <col min="1" max="1" width="31.36328125" bestFit="1" customWidth="1"/>
    <col min="2" max="3" width="19" customWidth="1"/>
  </cols>
  <sheetData>
    <row r="1" spans="1:6" x14ac:dyDescent="0.35">
      <c r="A1" s="1" t="s">
        <v>0</v>
      </c>
      <c r="B1" s="1" t="s">
        <v>1</v>
      </c>
      <c r="C1" s="1" t="s">
        <v>2</v>
      </c>
    </row>
    <row r="2" spans="1:6" hidden="1" x14ac:dyDescent="0.35">
      <c r="A2" s="1" t="s">
        <v>3</v>
      </c>
      <c r="B2" s="2">
        <v>113851</v>
      </c>
      <c r="C2" s="1" t="s">
        <v>4</v>
      </c>
    </row>
    <row r="3" spans="1:6" hidden="1" x14ac:dyDescent="0.35">
      <c r="A3" s="1" t="s">
        <v>5</v>
      </c>
      <c r="B3" s="2">
        <v>357</v>
      </c>
      <c r="C3" s="1" t="s">
        <v>4</v>
      </c>
      <c r="F3" s="23"/>
    </row>
    <row r="4" spans="1:6" hidden="1" x14ac:dyDescent="0.35">
      <c r="A4" s="1" t="s">
        <v>6</v>
      </c>
      <c r="B4" s="2">
        <v>221</v>
      </c>
      <c r="C4" s="1" t="s">
        <v>4</v>
      </c>
      <c r="F4" s="24"/>
    </row>
    <row r="5" spans="1:6" hidden="1" x14ac:dyDescent="0.35">
      <c r="A5" s="1" t="s">
        <v>7</v>
      </c>
      <c r="B5" s="2">
        <v>70</v>
      </c>
      <c r="C5" s="1" t="s">
        <v>4</v>
      </c>
      <c r="F5" s="23"/>
    </row>
    <row r="6" spans="1:6" hidden="1" x14ac:dyDescent="0.35">
      <c r="A6" s="1" t="s">
        <v>8</v>
      </c>
      <c r="B6" s="2">
        <v>56</v>
      </c>
      <c r="C6" s="1" t="s">
        <v>4</v>
      </c>
      <c r="F6" s="24"/>
    </row>
    <row r="7" spans="1:6" hidden="1" x14ac:dyDescent="0.35">
      <c r="A7" s="1" t="s">
        <v>9</v>
      </c>
      <c r="B7" s="2">
        <v>349</v>
      </c>
      <c r="C7" s="1" t="s">
        <v>4</v>
      </c>
      <c r="F7" s="23"/>
    </row>
    <row r="8" spans="1:6" hidden="1" x14ac:dyDescent="0.35">
      <c r="A8" s="1" t="s">
        <v>10</v>
      </c>
      <c r="B8" s="2">
        <v>130106</v>
      </c>
      <c r="C8" s="1" t="s">
        <v>4</v>
      </c>
    </row>
    <row r="9" spans="1:6" hidden="1" x14ac:dyDescent="0.35">
      <c r="A9" s="1" t="s">
        <v>11</v>
      </c>
      <c r="B9" s="2">
        <v>367</v>
      </c>
      <c r="C9" s="1" t="s">
        <v>4</v>
      </c>
      <c r="F9" s="24"/>
    </row>
    <row r="10" spans="1:6" hidden="1" x14ac:dyDescent="0.35">
      <c r="A10" s="1" t="s">
        <v>12</v>
      </c>
      <c r="B10" s="2">
        <v>39</v>
      </c>
      <c r="C10" s="1" t="s">
        <v>4</v>
      </c>
      <c r="F10" s="23"/>
    </row>
    <row r="11" spans="1:6" hidden="1" x14ac:dyDescent="0.35">
      <c r="A11" s="1" t="s">
        <v>13</v>
      </c>
      <c r="B11" s="2">
        <v>27</v>
      </c>
      <c r="C11" s="1" t="s">
        <v>4</v>
      </c>
      <c r="F11" s="24"/>
    </row>
    <row r="12" spans="1:6" hidden="1" x14ac:dyDescent="0.35">
      <c r="A12" s="1" t="s">
        <v>14</v>
      </c>
      <c r="B12" s="2">
        <v>1731</v>
      </c>
      <c r="C12" s="1" t="s">
        <v>4</v>
      </c>
      <c r="F12" s="23"/>
    </row>
    <row r="13" spans="1:6" hidden="1" x14ac:dyDescent="0.35">
      <c r="A13" s="1" t="s">
        <v>15</v>
      </c>
      <c r="B13" s="2">
        <v>441</v>
      </c>
      <c r="C13" s="1" t="s">
        <v>4</v>
      </c>
      <c r="F13" s="24"/>
    </row>
    <row r="14" spans="1:6" hidden="1" x14ac:dyDescent="0.35">
      <c r="A14" s="1" t="s">
        <v>3</v>
      </c>
      <c r="B14" s="2">
        <v>1366800</v>
      </c>
      <c r="C14" s="1" t="s">
        <v>16</v>
      </c>
    </row>
    <row r="15" spans="1:6" hidden="1" x14ac:dyDescent="0.35">
      <c r="A15" s="1" t="s">
        <v>5</v>
      </c>
      <c r="B15" s="2">
        <v>1608</v>
      </c>
      <c r="C15" s="1" t="s">
        <v>16</v>
      </c>
    </row>
    <row r="16" spans="1:6" hidden="1" x14ac:dyDescent="0.35">
      <c r="A16" s="1" t="s">
        <v>6</v>
      </c>
      <c r="B16" s="2">
        <v>2317</v>
      </c>
      <c r="C16" s="1" t="s">
        <v>16</v>
      </c>
    </row>
    <row r="17" spans="1:3" hidden="1" x14ac:dyDescent="0.35">
      <c r="A17" s="1" t="s">
        <v>7</v>
      </c>
      <c r="B17" s="2">
        <v>524</v>
      </c>
      <c r="C17" s="1" t="s">
        <v>16</v>
      </c>
    </row>
    <row r="18" spans="1:3" hidden="1" x14ac:dyDescent="0.35">
      <c r="A18" s="1" t="s">
        <v>8</v>
      </c>
      <c r="B18" s="2">
        <v>278</v>
      </c>
      <c r="C18" s="1" t="s">
        <v>16</v>
      </c>
    </row>
    <row r="19" spans="1:3" hidden="1" x14ac:dyDescent="0.35">
      <c r="A19" s="1" t="s">
        <v>9</v>
      </c>
      <c r="B19" s="2">
        <v>2651</v>
      </c>
      <c r="C19" s="1" t="s">
        <v>16</v>
      </c>
    </row>
    <row r="20" spans="1:3" hidden="1" x14ac:dyDescent="0.35">
      <c r="A20" s="1" t="s">
        <v>10</v>
      </c>
      <c r="B20" s="2">
        <v>697076</v>
      </c>
      <c r="C20" s="1" t="s">
        <v>16</v>
      </c>
    </row>
    <row r="21" spans="1:3" hidden="1" x14ac:dyDescent="0.35">
      <c r="A21" s="1" t="s">
        <v>11</v>
      </c>
      <c r="B21" s="2">
        <v>2077</v>
      </c>
      <c r="C21" s="1" t="s">
        <v>16</v>
      </c>
    </row>
    <row r="22" spans="1:3" hidden="1" x14ac:dyDescent="0.35">
      <c r="A22" s="1" t="s">
        <v>12</v>
      </c>
      <c r="B22" s="2">
        <v>252</v>
      </c>
      <c r="C22" s="1" t="s">
        <v>16</v>
      </c>
    </row>
    <row r="23" spans="1:3" hidden="1" x14ac:dyDescent="0.35">
      <c r="A23" s="1" t="s">
        <v>17</v>
      </c>
      <c r="B23" s="2">
        <v>330</v>
      </c>
      <c r="C23" s="1" t="s">
        <v>16</v>
      </c>
    </row>
    <row r="24" spans="1:3" hidden="1" x14ac:dyDescent="0.35">
      <c r="A24" s="1" t="s">
        <v>14</v>
      </c>
      <c r="B24" s="2">
        <v>23432</v>
      </c>
      <c r="C24" s="1" t="s">
        <v>16</v>
      </c>
    </row>
    <row r="25" spans="1:3" hidden="1" x14ac:dyDescent="0.35">
      <c r="A25" s="1" t="s">
        <v>15</v>
      </c>
      <c r="B25" s="2">
        <v>8763</v>
      </c>
      <c r="C25" s="1" t="s">
        <v>16</v>
      </c>
    </row>
    <row r="26" spans="1:3" hidden="1" x14ac:dyDescent="0.35">
      <c r="A26" s="1" t="s">
        <v>3</v>
      </c>
      <c r="B26" s="2">
        <v>192773</v>
      </c>
      <c r="C26" s="1" t="s">
        <v>18</v>
      </c>
    </row>
    <row r="27" spans="1:3" hidden="1" x14ac:dyDescent="0.35">
      <c r="A27" s="1" t="s">
        <v>5</v>
      </c>
      <c r="B27" s="2">
        <v>636</v>
      </c>
      <c r="C27" s="1" t="s">
        <v>18</v>
      </c>
    </row>
    <row r="28" spans="1:3" hidden="1" x14ac:dyDescent="0.35">
      <c r="A28" s="1" t="s">
        <v>6</v>
      </c>
      <c r="B28" s="2">
        <v>719</v>
      </c>
      <c r="C28" s="1" t="s">
        <v>18</v>
      </c>
    </row>
    <row r="29" spans="1:3" hidden="1" x14ac:dyDescent="0.35">
      <c r="A29" s="1" t="s">
        <v>7</v>
      </c>
      <c r="B29" s="2">
        <v>174</v>
      </c>
      <c r="C29" s="1" t="s">
        <v>18</v>
      </c>
    </row>
    <row r="30" spans="1:3" hidden="1" x14ac:dyDescent="0.35">
      <c r="A30" s="1" t="s">
        <v>8</v>
      </c>
      <c r="B30" s="2">
        <v>271</v>
      </c>
      <c r="C30" s="1" t="s">
        <v>18</v>
      </c>
    </row>
    <row r="31" spans="1:3" hidden="1" x14ac:dyDescent="0.35">
      <c r="A31" s="1" t="s">
        <v>9</v>
      </c>
      <c r="B31" s="2">
        <v>880</v>
      </c>
      <c r="C31" s="1" t="s">
        <v>18</v>
      </c>
    </row>
    <row r="32" spans="1:3" hidden="1" x14ac:dyDescent="0.35">
      <c r="A32" s="1" t="s">
        <v>10</v>
      </c>
      <c r="B32" s="2">
        <v>235681</v>
      </c>
      <c r="C32" s="1" t="s">
        <v>18</v>
      </c>
    </row>
    <row r="33" spans="1:6" hidden="1" x14ac:dyDescent="0.35">
      <c r="A33" s="1" t="s">
        <v>11</v>
      </c>
      <c r="B33" s="2">
        <v>776</v>
      </c>
      <c r="C33" s="1" t="s">
        <v>18</v>
      </c>
    </row>
    <row r="34" spans="1:6" hidden="1" x14ac:dyDescent="0.35">
      <c r="A34" s="1" t="s">
        <v>12</v>
      </c>
      <c r="B34" s="2">
        <v>96</v>
      </c>
      <c r="C34" s="1" t="s">
        <v>18</v>
      </c>
    </row>
    <row r="35" spans="1:6" hidden="1" x14ac:dyDescent="0.35">
      <c r="A35" s="1" t="s">
        <v>13</v>
      </c>
      <c r="B35" s="2">
        <v>99</v>
      </c>
      <c r="C35" s="1" t="s">
        <v>18</v>
      </c>
    </row>
    <row r="36" spans="1:6" hidden="1" x14ac:dyDescent="0.35">
      <c r="A36" s="1" t="s">
        <v>14</v>
      </c>
      <c r="B36" s="2">
        <v>5549</v>
      </c>
      <c r="C36" s="1" t="s">
        <v>18</v>
      </c>
    </row>
    <row r="37" spans="1:6" hidden="1" x14ac:dyDescent="0.35">
      <c r="A37" s="1" t="s">
        <v>15</v>
      </c>
      <c r="B37" s="2">
        <v>832</v>
      </c>
      <c r="C37" s="1" t="s">
        <v>18</v>
      </c>
    </row>
    <row r="38" spans="1:6" hidden="1" x14ac:dyDescent="0.35">
      <c r="A38" s="1" t="s">
        <v>3</v>
      </c>
      <c r="B38" s="2">
        <v>124811</v>
      </c>
      <c r="C38" s="1" t="s">
        <v>19</v>
      </c>
    </row>
    <row r="39" spans="1:6" hidden="1" x14ac:dyDescent="0.35">
      <c r="A39" s="1" t="s">
        <v>5</v>
      </c>
      <c r="B39" s="2">
        <v>730</v>
      </c>
      <c r="C39" s="1" t="s">
        <v>19</v>
      </c>
      <c r="F39" s="23"/>
    </row>
    <row r="40" spans="1:6" hidden="1" x14ac:dyDescent="0.35">
      <c r="A40" s="1" t="s">
        <v>6</v>
      </c>
      <c r="B40" s="2">
        <v>614</v>
      </c>
      <c r="C40" s="1" t="s">
        <v>19</v>
      </c>
      <c r="F40" s="24"/>
    </row>
    <row r="41" spans="1:6" hidden="1" x14ac:dyDescent="0.35">
      <c r="A41" s="1" t="s">
        <v>7</v>
      </c>
      <c r="B41" s="2">
        <v>179</v>
      </c>
      <c r="C41" s="1" t="s">
        <v>19</v>
      </c>
      <c r="F41" s="23"/>
    </row>
    <row r="42" spans="1:6" hidden="1" x14ac:dyDescent="0.35">
      <c r="A42" s="1" t="s">
        <v>8</v>
      </c>
      <c r="B42" s="2">
        <v>131</v>
      </c>
      <c r="C42" s="1" t="s">
        <v>19</v>
      </c>
      <c r="F42" s="24"/>
    </row>
    <row r="43" spans="1:6" hidden="1" x14ac:dyDescent="0.35">
      <c r="A43" s="1" t="s">
        <v>9</v>
      </c>
      <c r="B43" s="2">
        <v>889</v>
      </c>
      <c r="C43" s="1" t="s">
        <v>19</v>
      </c>
      <c r="F43" s="23"/>
    </row>
    <row r="44" spans="1:6" hidden="1" x14ac:dyDescent="0.35">
      <c r="A44" s="1" t="s">
        <v>10</v>
      </c>
      <c r="B44" s="2">
        <v>216691</v>
      </c>
      <c r="C44" s="1" t="s">
        <v>19</v>
      </c>
    </row>
    <row r="45" spans="1:6" hidden="1" x14ac:dyDescent="0.35">
      <c r="A45" s="1" t="s">
        <v>11</v>
      </c>
      <c r="B45" s="2">
        <v>708</v>
      </c>
      <c r="C45" s="1" t="s">
        <v>19</v>
      </c>
      <c r="F45" s="24"/>
    </row>
    <row r="46" spans="1:6" hidden="1" x14ac:dyDescent="0.35">
      <c r="A46" s="1" t="s">
        <v>12</v>
      </c>
      <c r="B46" s="2">
        <v>138</v>
      </c>
      <c r="C46" s="1" t="s">
        <v>19</v>
      </c>
      <c r="F46" s="23"/>
    </row>
    <row r="47" spans="1:6" hidden="1" x14ac:dyDescent="0.35">
      <c r="A47" s="1" t="s">
        <v>13</v>
      </c>
      <c r="B47" s="2">
        <v>110</v>
      </c>
      <c r="C47" s="1" t="s">
        <v>19</v>
      </c>
      <c r="F47" s="24"/>
    </row>
    <row r="48" spans="1:6" hidden="1" x14ac:dyDescent="0.35">
      <c r="A48" s="1" t="s">
        <v>14</v>
      </c>
      <c r="B48" s="2">
        <v>1374</v>
      </c>
      <c r="C48" s="1" t="s">
        <v>19</v>
      </c>
      <c r="F48" s="23"/>
    </row>
    <row r="49" spans="1:6" hidden="1" x14ac:dyDescent="0.35">
      <c r="A49" s="1" t="s">
        <v>15</v>
      </c>
      <c r="B49" s="2">
        <v>665</v>
      </c>
      <c r="C49" s="1" t="s">
        <v>19</v>
      </c>
      <c r="F49" s="24"/>
    </row>
    <row r="50" spans="1:6" hidden="1" x14ac:dyDescent="0.35">
      <c r="A50" s="1" t="s">
        <v>3</v>
      </c>
      <c r="B50" s="2">
        <v>382749</v>
      </c>
      <c r="C50" s="1" t="s">
        <v>20</v>
      </c>
    </row>
    <row r="51" spans="1:6" hidden="1" x14ac:dyDescent="0.35">
      <c r="A51" s="1" t="s">
        <v>5</v>
      </c>
      <c r="B51" s="2">
        <v>1457</v>
      </c>
      <c r="C51" s="1" t="s">
        <v>20</v>
      </c>
    </row>
    <row r="52" spans="1:6" hidden="1" x14ac:dyDescent="0.35">
      <c r="A52" s="1" t="s">
        <v>6</v>
      </c>
      <c r="B52" s="2">
        <v>2305</v>
      </c>
      <c r="C52" s="1" t="s">
        <v>20</v>
      </c>
    </row>
    <row r="53" spans="1:6" hidden="1" x14ac:dyDescent="0.35">
      <c r="A53" s="1" t="s">
        <v>7</v>
      </c>
      <c r="B53" s="2">
        <v>489</v>
      </c>
      <c r="C53" s="1" t="s">
        <v>20</v>
      </c>
    </row>
    <row r="54" spans="1:6" hidden="1" x14ac:dyDescent="0.35">
      <c r="A54" s="1" t="s">
        <v>8</v>
      </c>
      <c r="B54" s="2">
        <v>286</v>
      </c>
      <c r="C54" s="1" t="s">
        <v>20</v>
      </c>
    </row>
    <row r="55" spans="1:6" hidden="1" x14ac:dyDescent="0.35">
      <c r="A55" s="1" t="s">
        <v>9</v>
      </c>
      <c r="B55" s="2">
        <v>2118</v>
      </c>
      <c r="C55" s="1" t="s">
        <v>20</v>
      </c>
    </row>
    <row r="56" spans="1:6" hidden="1" x14ac:dyDescent="0.35">
      <c r="A56" s="1" t="s">
        <v>10</v>
      </c>
      <c r="B56" s="2">
        <v>562620</v>
      </c>
      <c r="C56" s="1" t="s">
        <v>20</v>
      </c>
    </row>
    <row r="57" spans="1:6" hidden="1" x14ac:dyDescent="0.35">
      <c r="A57" s="1" t="s">
        <v>11</v>
      </c>
      <c r="B57" s="2">
        <v>1318</v>
      </c>
      <c r="C57" s="1" t="s">
        <v>20</v>
      </c>
    </row>
    <row r="58" spans="1:6" hidden="1" x14ac:dyDescent="0.35">
      <c r="A58" s="1" t="s">
        <v>12</v>
      </c>
      <c r="B58" s="2">
        <v>367</v>
      </c>
      <c r="C58" s="1" t="s">
        <v>20</v>
      </c>
    </row>
    <row r="59" spans="1:6" hidden="1" x14ac:dyDescent="0.35">
      <c r="A59" s="1" t="s">
        <v>13</v>
      </c>
      <c r="B59" s="2">
        <v>335</v>
      </c>
      <c r="C59" s="1" t="s">
        <v>20</v>
      </c>
    </row>
    <row r="60" spans="1:6" hidden="1" x14ac:dyDescent="0.35">
      <c r="A60" s="1" t="s">
        <v>14</v>
      </c>
      <c r="B60" s="2">
        <v>9090</v>
      </c>
      <c r="C60" s="1" t="s">
        <v>20</v>
      </c>
    </row>
    <row r="61" spans="1:6" hidden="1" x14ac:dyDescent="0.35">
      <c r="A61" s="1" t="s">
        <v>15</v>
      </c>
      <c r="B61" s="2">
        <v>2417</v>
      </c>
      <c r="C61" s="1" t="s">
        <v>20</v>
      </c>
    </row>
    <row r="62" spans="1:6" hidden="1" x14ac:dyDescent="0.35">
      <c r="A62" s="1" t="s">
        <v>3</v>
      </c>
      <c r="B62" s="2">
        <v>493234</v>
      </c>
      <c r="C62" s="1" t="s">
        <v>21</v>
      </c>
    </row>
    <row r="63" spans="1:6" hidden="1" x14ac:dyDescent="0.35">
      <c r="A63" s="1" t="s">
        <v>5</v>
      </c>
      <c r="B63" s="2">
        <v>1244</v>
      </c>
      <c r="C63" s="1" t="s">
        <v>21</v>
      </c>
    </row>
    <row r="64" spans="1:6" hidden="1" x14ac:dyDescent="0.35">
      <c r="A64" s="1" t="s">
        <v>6</v>
      </c>
      <c r="B64" s="2">
        <v>1507</v>
      </c>
      <c r="C64" s="1" t="s">
        <v>21</v>
      </c>
    </row>
    <row r="65" spans="1:3" hidden="1" x14ac:dyDescent="0.35">
      <c r="A65" s="1" t="s">
        <v>7</v>
      </c>
      <c r="B65" s="2">
        <v>344</v>
      </c>
      <c r="C65" s="1" t="s">
        <v>21</v>
      </c>
    </row>
    <row r="66" spans="1:3" hidden="1" x14ac:dyDescent="0.35">
      <c r="A66" s="1" t="s">
        <v>8</v>
      </c>
      <c r="B66" s="2">
        <v>365</v>
      </c>
      <c r="C66" s="1" t="s">
        <v>21</v>
      </c>
    </row>
    <row r="67" spans="1:3" hidden="1" x14ac:dyDescent="0.35">
      <c r="A67" s="1" t="s">
        <v>9</v>
      </c>
      <c r="B67" s="2">
        <v>1544</v>
      </c>
      <c r="C67" s="1" t="s">
        <v>21</v>
      </c>
    </row>
    <row r="68" spans="1:3" hidden="1" x14ac:dyDescent="0.35">
      <c r="A68" s="1" t="s">
        <v>10</v>
      </c>
      <c r="B68" s="2">
        <v>453234</v>
      </c>
      <c r="C68" s="1" t="s">
        <v>21</v>
      </c>
    </row>
    <row r="69" spans="1:3" hidden="1" x14ac:dyDescent="0.35">
      <c r="A69" s="1" t="s">
        <v>11</v>
      </c>
      <c r="B69" s="2">
        <v>1118</v>
      </c>
      <c r="C69" s="1" t="s">
        <v>21</v>
      </c>
    </row>
    <row r="70" spans="1:3" hidden="1" x14ac:dyDescent="0.35">
      <c r="A70" s="1" t="s">
        <v>12</v>
      </c>
      <c r="B70" s="2">
        <v>315</v>
      </c>
      <c r="C70" s="1" t="s">
        <v>21</v>
      </c>
    </row>
    <row r="71" spans="1:3" hidden="1" x14ac:dyDescent="0.35">
      <c r="A71" s="1" t="s">
        <v>13</v>
      </c>
      <c r="B71" s="2">
        <v>219</v>
      </c>
      <c r="C71" s="1" t="s">
        <v>21</v>
      </c>
    </row>
    <row r="72" spans="1:3" hidden="1" x14ac:dyDescent="0.35">
      <c r="A72" s="1" t="s">
        <v>14</v>
      </c>
      <c r="B72" s="2">
        <v>6910</v>
      </c>
      <c r="C72" s="1" t="s">
        <v>21</v>
      </c>
    </row>
    <row r="73" spans="1:3" hidden="1" x14ac:dyDescent="0.35">
      <c r="A73" s="1" t="s">
        <v>15</v>
      </c>
      <c r="B73" s="2">
        <v>1851</v>
      </c>
      <c r="C73" s="1" t="s">
        <v>21</v>
      </c>
    </row>
    <row r="74" spans="1:3" hidden="1" x14ac:dyDescent="0.35">
      <c r="A74" s="1" t="s">
        <v>3</v>
      </c>
      <c r="B74" s="2">
        <v>681535</v>
      </c>
      <c r="C74" s="1" t="s">
        <v>22</v>
      </c>
    </row>
    <row r="75" spans="1:3" hidden="1" x14ac:dyDescent="0.35">
      <c r="A75" s="1" t="s">
        <v>5</v>
      </c>
      <c r="B75" s="2">
        <v>758</v>
      </c>
      <c r="C75" s="1" t="s">
        <v>22</v>
      </c>
    </row>
    <row r="76" spans="1:3" hidden="1" x14ac:dyDescent="0.35">
      <c r="A76" s="1" t="s">
        <v>6</v>
      </c>
      <c r="B76" s="2">
        <v>1773</v>
      </c>
      <c r="C76" s="1" t="s">
        <v>22</v>
      </c>
    </row>
    <row r="77" spans="1:3" hidden="1" x14ac:dyDescent="0.35">
      <c r="A77" s="1" t="s">
        <v>7</v>
      </c>
      <c r="B77" s="2">
        <v>401</v>
      </c>
      <c r="C77" s="1" t="s">
        <v>22</v>
      </c>
    </row>
    <row r="78" spans="1:3" hidden="1" x14ac:dyDescent="0.35">
      <c r="A78" s="1" t="s">
        <v>8</v>
      </c>
      <c r="B78" s="2">
        <v>223</v>
      </c>
      <c r="C78" s="1" t="s">
        <v>22</v>
      </c>
    </row>
    <row r="79" spans="1:3" hidden="1" x14ac:dyDescent="0.35">
      <c r="A79" s="1" t="s">
        <v>9</v>
      </c>
      <c r="B79" s="2">
        <v>2975</v>
      </c>
      <c r="C79" s="1" t="s">
        <v>22</v>
      </c>
    </row>
    <row r="80" spans="1:3" hidden="1" x14ac:dyDescent="0.35">
      <c r="A80" s="1" t="s">
        <v>10</v>
      </c>
      <c r="B80" s="2">
        <v>1260832</v>
      </c>
      <c r="C80" s="1" t="s">
        <v>22</v>
      </c>
    </row>
    <row r="81" spans="1:6" hidden="1" x14ac:dyDescent="0.35">
      <c r="A81" s="1" t="s">
        <v>11</v>
      </c>
      <c r="B81" s="2">
        <v>2102</v>
      </c>
      <c r="C81" s="1" t="s">
        <v>22</v>
      </c>
    </row>
    <row r="82" spans="1:6" hidden="1" x14ac:dyDescent="0.35">
      <c r="A82" s="1" t="s">
        <v>12</v>
      </c>
      <c r="B82" s="2">
        <v>290</v>
      </c>
      <c r="C82" s="1" t="s">
        <v>22</v>
      </c>
    </row>
    <row r="83" spans="1:6" hidden="1" x14ac:dyDescent="0.35">
      <c r="A83" s="1" t="s">
        <v>13</v>
      </c>
      <c r="B83" s="2">
        <v>271</v>
      </c>
      <c r="C83" s="1" t="s">
        <v>22</v>
      </c>
    </row>
    <row r="84" spans="1:6" hidden="1" x14ac:dyDescent="0.35">
      <c r="A84" s="1" t="s">
        <v>14</v>
      </c>
      <c r="B84" s="2">
        <v>19630</v>
      </c>
      <c r="C84" s="1" t="s">
        <v>22</v>
      </c>
    </row>
    <row r="85" spans="1:6" hidden="1" x14ac:dyDescent="0.35">
      <c r="A85" s="1" t="s">
        <v>15</v>
      </c>
      <c r="B85" s="2">
        <v>6289</v>
      </c>
      <c r="C85" s="1" t="s">
        <v>22</v>
      </c>
    </row>
    <row r="86" spans="1:6" hidden="1" x14ac:dyDescent="0.35">
      <c r="A86" s="1" t="s">
        <v>3</v>
      </c>
      <c r="B86" s="2">
        <v>134800</v>
      </c>
      <c r="C86" s="1" t="s">
        <v>23</v>
      </c>
    </row>
    <row r="87" spans="1:6" hidden="1" x14ac:dyDescent="0.35">
      <c r="A87" s="1" t="s">
        <v>5</v>
      </c>
      <c r="B87" s="2">
        <v>1026</v>
      </c>
      <c r="C87" s="1" t="s">
        <v>23</v>
      </c>
      <c r="F87" s="23"/>
    </row>
    <row r="88" spans="1:6" hidden="1" x14ac:dyDescent="0.35">
      <c r="A88" s="1" t="s">
        <v>6</v>
      </c>
      <c r="B88" s="2">
        <v>245</v>
      </c>
      <c r="C88" s="1" t="s">
        <v>23</v>
      </c>
      <c r="F88" s="24"/>
    </row>
    <row r="89" spans="1:6" hidden="1" x14ac:dyDescent="0.35">
      <c r="A89" s="1" t="s">
        <v>7</v>
      </c>
      <c r="B89" s="2">
        <v>266</v>
      </c>
      <c r="C89" s="1" t="s">
        <v>23</v>
      </c>
      <c r="F89" s="23"/>
    </row>
    <row r="90" spans="1:6" hidden="1" x14ac:dyDescent="0.35">
      <c r="A90" s="1" t="s">
        <v>8</v>
      </c>
      <c r="B90" s="2">
        <v>155</v>
      </c>
      <c r="C90" s="1" t="s">
        <v>23</v>
      </c>
      <c r="F90" s="24"/>
    </row>
    <row r="91" spans="1:6" hidden="1" x14ac:dyDescent="0.35">
      <c r="A91" s="1" t="s">
        <v>9</v>
      </c>
      <c r="B91" s="2">
        <v>396</v>
      </c>
      <c r="C91" s="1" t="s">
        <v>23</v>
      </c>
      <c r="F91" s="23"/>
    </row>
    <row r="92" spans="1:6" hidden="1" x14ac:dyDescent="0.35">
      <c r="A92" s="1" t="s">
        <v>10</v>
      </c>
      <c r="B92" s="2">
        <v>111051</v>
      </c>
      <c r="C92" s="1" t="s">
        <v>23</v>
      </c>
    </row>
    <row r="93" spans="1:6" hidden="1" x14ac:dyDescent="0.35">
      <c r="A93" s="1" t="s">
        <v>11</v>
      </c>
      <c r="B93" s="2">
        <v>354</v>
      </c>
      <c r="C93" s="1" t="s">
        <v>23</v>
      </c>
      <c r="F93" s="24"/>
    </row>
    <row r="94" spans="1:6" hidden="1" x14ac:dyDescent="0.35">
      <c r="A94" s="1" t="s">
        <v>12</v>
      </c>
      <c r="B94" s="2">
        <v>132</v>
      </c>
      <c r="C94" s="1" t="s">
        <v>23</v>
      </c>
      <c r="F94" s="23"/>
    </row>
    <row r="95" spans="1:6" hidden="1" x14ac:dyDescent="0.35">
      <c r="A95" s="1" t="s">
        <v>13</v>
      </c>
      <c r="B95" s="2">
        <v>154</v>
      </c>
      <c r="C95" s="1" t="s">
        <v>23</v>
      </c>
      <c r="F95" s="24"/>
    </row>
    <row r="96" spans="1:6" hidden="1" x14ac:dyDescent="0.35">
      <c r="A96" s="1" t="s">
        <v>14</v>
      </c>
      <c r="B96" s="2">
        <v>203</v>
      </c>
      <c r="C96" s="1" t="s">
        <v>23</v>
      </c>
      <c r="F96" s="23"/>
    </row>
    <row r="97" spans="1:6" hidden="1" x14ac:dyDescent="0.35">
      <c r="A97" s="1" t="s">
        <v>15</v>
      </c>
      <c r="B97" s="2">
        <v>569</v>
      </c>
      <c r="C97" s="1" t="s">
        <v>23</v>
      </c>
      <c r="F97" s="24"/>
    </row>
    <row r="98" spans="1:6" hidden="1" x14ac:dyDescent="0.35">
      <c r="A98" s="1" t="s">
        <v>3</v>
      </c>
      <c r="B98" s="2">
        <v>370928</v>
      </c>
      <c r="C98" s="1" t="s">
        <v>24</v>
      </c>
    </row>
    <row r="99" spans="1:6" hidden="1" x14ac:dyDescent="0.35">
      <c r="A99" s="1" t="s">
        <v>5</v>
      </c>
      <c r="B99" s="2">
        <v>2825</v>
      </c>
      <c r="C99" s="1" t="s">
        <v>24</v>
      </c>
    </row>
    <row r="100" spans="1:6" hidden="1" x14ac:dyDescent="0.35">
      <c r="A100" s="1" t="s">
        <v>6</v>
      </c>
      <c r="B100" s="2">
        <v>991</v>
      </c>
      <c r="C100" s="1" t="s">
        <v>24</v>
      </c>
    </row>
    <row r="101" spans="1:6" hidden="1" x14ac:dyDescent="0.35">
      <c r="A101" s="1" t="s">
        <v>7</v>
      </c>
      <c r="B101" s="2">
        <v>719</v>
      </c>
      <c r="C101" s="1" t="s">
        <v>24</v>
      </c>
    </row>
    <row r="102" spans="1:6" hidden="1" x14ac:dyDescent="0.35">
      <c r="A102" s="1" t="s">
        <v>8</v>
      </c>
      <c r="B102" s="2">
        <v>444</v>
      </c>
      <c r="C102" s="1" t="s">
        <v>24</v>
      </c>
    </row>
    <row r="103" spans="1:6" hidden="1" x14ac:dyDescent="0.35">
      <c r="A103" s="1" t="s">
        <v>9</v>
      </c>
      <c r="B103" s="2">
        <v>2154</v>
      </c>
      <c r="C103" s="1" t="s">
        <v>24</v>
      </c>
    </row>
    <row r="104" spans="1:6" hidden="1" x14ac:dyDescent="0.35">
      <c r="A104" s="1" t="s">
        <v>10</v>
      </c>
      <c r="B104" s="2">
        <v>529456</v>
      </c>
      <c r="C104" s="1" t="s">
        <v>24</v>
      </c>
    </row>
    <row r="105" spans="1:6" hidden="1" x14ac:dyDescent="0.35">
      <c r="A105" s="1" t="s">
        <v>11</v>
      </c>
      <c r="B105" s="2">
        <v>2125</v>
      </c>
      <c r="C105" s="1" t="s">
        <v>24</v>
      </c>
    </row>
    <row r="106" spans="1:6" hidden="1" x14ac:dyDescent="0.35">
      <c r="A106" s="1" t="s">
        <v>12</v>
      </c>
      <c r="B106" s="2">
        <v>604</v>
      </c>
      <c r="C106" s="1" t="s">
        <v>24</v>
      </c>
    </row>
    <row r="107" spans="1:6" hidden="1" x14ac:dyDescent="0.35">
      <c r="A107" s="1" t="s">
        <v>13</v>
      </c>
      <c r="B107" s="2">
        <v>547</v>
      </c>
      <c r="C107" s="1" t="s">
        <v>24</v>
      </c>
    </row>
    <row r="108" spans="1:6" hidden="1" x14ac:dyDescent="0.35">
      <c r="A108" s="1" t="s">
        <v>14</v>
      </c>
      <c r="B108" s="2">
        <v>1305</v>
      </c>
      <c r="C108" s="1" t="s">
        <v>24</v>
      </c>
    </row>
    <row r="109" spans="1:6" hidden="1" x14ac:dyDescent="0.35">
      <c r="A109" s="1" t="s">
        <v>15</v>
      </c>
      <c r="B109" s="2">
        <v>2624</v>
      </c>
      <c r="C109" s="1" t="s">
        <v>24</v>
      </c>
    </row>
    <row r="110" spans="1:6" hidden="1" x14ac:dyDescent="0.35">
      <c r="A110" s="1" t="s">
        <v>3</v>
      </c>
      <c r="B110" s="2">
        <v>86489</v>
      </c>
      <c r="C110" s="1" t="s">
        <v>25</v>
      </c>
    </row>
    <row r="111" spans="1:6" hidden="1" x14ac:dyDescent="0.35">
      <c r="A111" s="1" t="s">
        <v>26</v>
      </c>
      <c r="B111" s="2">
        <v>532</v>
      </c>
      <c r="C111" s="1" t="s">
        <v>25</v>
      </c>
      <c r="F111" s="23"/>
    </row>
    <row r="112" spans="1:6" hidden="1" x14ac:dyDescent="0.35">
      <c r="A112" s="1" t="s">
        <v>6</v>
      </c>
      <c r="B112" s="2">
        <v>380</v>
      </c>
      <c r="C112" s="1" t="s">
        <v>25</v>
      </c>
      <c r="F112" s="24"/>
    </row>
    <row r="113" spans="1:6" hidden="1" x14ac:dyDescent="0.35">
      <c r="A113" s="1" t="s">
        <v>7</v>
      </c>
      <c r="B113" s="2">
        <v>282</v>
      </c>
      <c r="C113" s="1" t="s">
        <v>25</v>
      </c>
      <c r="F113" s="23"/>
    </row>
    <row r="114" spans="1:6" hidden="1" x14ac:dyDescent="0.35">
      <c r="A114" s="1" t="s">
        <v>8</v>
      </c>
      <c r="B114" s="2">
        <v>111</v>
      </c>
      <c r="C114" s="1" t="s">
        <v>25</v>
      </c>
      <c r="F114" s="24"/>
    </row>
    <row r="115" spans="1:6" hidden="1" x14ac:dyDescent="0.35">
      <c r="A115" s="1" t="s">
        <v>9</v>
      </c>
      <c r="B115" s="2">
        <v>970</v>
      </c>
      <c r="C115" s="1" t="s">
        <v>25</v>
      </c>
      <c r="F115" s="23"/>
    </row>
    <row r="116" spans="1:6" hidden="1" x14ac:dyDescent="0.35">
      <c r="A116" s="1" t="s">
        <v>10</v>
      </c>
      <c r="B116" s="2">
        <v>182470</v>
      </c>
      <c r="C116" s="1" t="s">
        <v>25</v>
      </c>
    </row>
    <row r="117" spans="1:6" hidden="1" x14ac:dyDescent="0.35">
      <c r="A117" s="1" t="s">
        <v>11</v>
      </c>
      <c r="B117" s="2">
        <v>499</v>
      </c>
      <c r="C117" s="1" t="s">
        <v>25</v>
      </c>
      <c r="F117" s="24"/>
    </row>
    <row r="118" spans="1:6" hidden="1" x14ac:dyDescent="0.35">
      <c r="A118" s="1" t="s">
        <v>12</v>
      </c>
      <c r="B118" s="2">
        <v>87</v>
      </c>
      <c r="C118" s="1" t="s">
        <v>25</v>
      </c>
      <c r="F118" s="23"/>
    </row>
    <row r="119" spans="1:6" hidden="1" x14ac:dyDescent="0.35">
      <c r="A119" s="1" t="s">
        <v>13</v>
      </c>
      <c r="B119" s="2">
        <v>75</v>
      </c>
      <c r="C119" s="1" t="s">
        <v>25</v>
      </c>
      <c r="F119" s="24"/>
    </row>
    <row r="120" spans="1:6" hidden="1" x14ac:dyDescent="0.35">
      <c r="A120" s="1" t="s">
        <v>14</v>
      </c>
      <c r="B120" s="2">
        <v>455</v>
      </c>
      <c r="C120" s="1" t="s">
        <v>25</v>
      </c>
      <c r="F120" s="23"/>
    </row>
    <row r="121" spans="1:6" hidden="1" x14ac:dyDescent="0.35">
      <c r="A121" s="1" t="s">
        <v>15</v>
      </c>
      <c r="B121" s="2">
        <v>620</v>
      </c>
      <c r="C121" s="1" t="s">
        <v>25</v>
      </c>
      <c r="F121" s="24"/>
    </row>
    <row r="122" spans="1:6" hidden="1" x14ac:dyDescent="0.35">
      <c r="A122" s="1" t="s">
        <v>3</v>
      </c>
      <c r="B122" s="2">
        <v>56774</v>
      </c>
      <c r="C122" s="1" t="s">
        <v>27</v>
      </c>
    </row>
    <row r="123" spans="1:6" x14ac:dyDescent="0.35">
      <c r="A123" s="1" t="s">
        <v>26</v>
      </c>
      <c r="B123" s="2">
        <v>569</v>
      </c>
      <c r="C123" s="1" t="s">
        <v>27</v>
      </c>
      <c r="F123" s="23">
        <v>569</v>
      </c>
    </row>
    <row r="124" spans="1:6" x14ac:dyDescent="0.35">
      <c r="A124" s="1" t="s">
        <v>6</v>
      </c>
      <c r="B124" s="2">
        <v>341</v>
      </c>
      <c r="C124" s="1" t="s">
        <v>27</v>
      </c>
      <c r="F124" s="24">
        <v>341</v>
      </c>
    </row>
    <row r="125" spans="1:6" x14ac:dyDescent="0.35">
      <c r="A125" s="1" t="s">
        <v>7</v>
      </c>
      <c r="B125" s="2">
        <v>163</v>
      </c>
      <c r="C125" s="1" t="s">
        <v>27</v>
      </c>
      <c r="F125" s="23">
        <v>163</v>
      </c>
    </row>
    <row r="126" spans="1:6" x14ac:dyDescent="0.35">
      <c r="A126" s="1" t="s">
        <v>8</v>
      </c>
      <c r="B126" s="2">
        <v>219</v>
      </c>
      <c r="C126" s="1" t="s">
        <v>27</v>
      </c>
      <c r="F126" s="24">
        <v>219</v>
      </c>
    </row>
    <row r="127" spans="1:6" x14ac:dyDescent="0.35">
      <c r="A127" s="1" t="s">
        <v>9</v>
      </c>
      <c r="B127" s="2">
        <v>621</v>
      </c>
      <c r="C127" s="1" t="s">
        <v>27</v>
      </c>
      <c r="F127" s="23">
        <v>621</v>
      </c>
    </row>
    <row r="128" spans="1:6" hidden="1" x14ac:dyDescent="0.35">
      <c r="A128" s="1" t="s">
        <v>10</v>
      </c>
      <c r="B128" s="2">
        <v>134563</v>
      </c>
      <c r="C128" s="1" t="s">
        <v>27</v>
      </c>
    </row>
    <row r="129" spans="1:6" x14ac:dyDescent="0.35">
      <c r="A129" s="1" t="s">
        <v>11</v>
      </c>
      <c r="B129" s="2">
        <v>511</v>
      </c>
      <c r="C129" s="1" t="s">
        <v>27</v>
      </c>
      <c r="F129" s="24">
        <v>511</v>
      </c>
    </row>
    <row r="130" spans="1:6" x14ac:dyDescent="0.35">
      <c r="A130" s="1" t="s">
        <v>12</v>
      </c>
      <c r="B130" s="2">
        <v>105</v>
      </c>
      <c r="C130" s="1" t="s">
        <v>27</v>
      </c>
      <c r="F130" s="23">
        <v>105</v>
      </c>
    </row>
    <row r="131" spans="1:6" x14ac:dyDescent="0.35">
      <c r="A131" s="1" t="s">
        <v>13</v>
      </c>
      <c r="B131" s="2">
        <v>105</v>
      </c>
      <c r="C131" s="1" t="s">
        <v>27</v>
      </c>
      <c r="F131" s="24">
        <v>105</v>
      </c>
    </row>
    <row r="132" spans="1:6" x14ac:dyDescent="0.35">
      <c r="A132" s="1" t="s">
        <v>14</v>
      </c>
      <c r="B132" s="2">
        <v>256</v>
      </c>
      <c r="C132" s="1" t="s">
        <v>27</v>
      </c>
      <c r="F132" s="23">
        <v>256</v>
      </c>
    </row>
    <row r="133" spans="1:6" x14ac:dyDescent="0.35">
      <c r="A133" s="1" t="s">
        <v>15</v>
      </c>
      <c r="B133" s="2">
        <v>882</v>
      </c>
      <c r="C133" s="1" t="s">
        <v>27</v>
      </c>
      <c r="F133" s="24">
        <v>882</v>
      </c>
    </row>
    <row r="134" spans="1:6" hidden="1" x14ac:dyDescent="0.35">
      <c r="A134" s="1" t="s">
        <v>3</v>
      </c>
      <c r="B134" s="2">
        <v>106700</v>
      </c>
      <c r="C134" s="1" t="s">
        <v>28</v>
      </c>
    </row>
    <row r="135" spans="1:6" hidden="1" x14ac:dyDescent="0.35">
      <c r="A135" s="1" t="s">
        <v>5</v>
      </c>
      <c r="B135" s="2">
        <v>1856</v>
      </c>
      <c r="C135" s="1" t="s">
        <v>28</v>
      </c>
    </row>
    <row r="136" spans="1:6" hidden="1" x14ac:dyDescent="0.35">
      <c r="A136" s="1" t="s">
        <v>6</v>
      </c>
      <c r="B136" s="2">
        <v>547</v>
      </c>
      <c r="C136" s="1" t="s">
        <v>28</v>
      </c>
    </row>
    <row r="137" spans="1:6" hidden="1" x14ac:dyDescent="0.35">
      <c r="A137" s="1" t="s">
        <v>7</v>
      </c>
      <c r="B137" s="2">
        <v>486</v>
      </c>
      <c r="C137" s="1" t="s">
        <v>28</v>
      </c>
    </row>
    <row r="138" spans="1:6" hidden="1" x14ac:dyDescent="0.35">
      <c r="A138" s="1" t="s">
        <v>8</v>
      </c>
      <c r="B138" s="2">
        <v>387</v>
      </c>
      <c r="C138" s="1" t="s">
        <v>28</v>
      </c>
    </row>
    <row r="139" spans="1:6" hidden="1" x14ac:dyDescent="0.35">
      <c r="A139" s="1" t="s">
        <v>9</v>
      </c>
      <c r="B139" s="2">
        <v>1436</v>
      </c>
      <c r="C139" s="1" t="s">
        <v>28</v>
      </c>
    </row>
    <row r="140" spans="1:6" hidden="1" x14ac:dyDescent="0.35">
      <c r="A140" s="1" t="s">
        <v>10</v>
      </c>
      <c r="B140" s="2">
        <v>361597</v>
      </c>
      <c r="C140" s="1" t="s">
        <v>28</v>
      </c>
    </row>
    <row r="141" spans="1:6" hidden="1" x14ac:dyDescent="0.35">
      <c r="A141" s="1" t="s">
        <v>11</v>
      </c>
      <c r="B141" s="2">
        <v>2202</v>
      </c>
      <c r="C141" s="1" t="s">
        <v>28</v>
      </c>
    </row>
    <row r="142" spans="1:6" hidden="1" x14ac:dyDescent="0.35">
      <c r="A142" s="1" t="s">
        <v>12</v>
      </c>
      <c r="B142" s="2">
        <v>247</v>
      </c>
      <c r="C142" s="1" t="s">
        <v>28</v>
      </c>
    </row>
    <row r="143" spans="1:6" hidden="1" x14ac:dyDescent="0.35">
      <c r="A143" s="1" t="s">
        <v>13</v>
      </c>
      <c r="B143" s="2">
        <v>215</v>
      </c>
      <c r="C143" s="1" t="s">
        <v>28</v>
      </c>
    </row>
    <row r="144" spans="1:6" hidden="1" x14ac:dyDescent="0.35">
      <c r="A144" s="1" t="s">
        <v>14</v>
      </c>
      <c r="B144" s="2">
        <v>743</v>
      </c>
      <c r="C144" s="1" t="s">
        <v>28</v>
      </c>
    </row>
    <row r="145" spans="1:6" hidden="1" x14ac:dyDescent="0.35">
      <c r="A145" s="1" t="s">
        <v>15</v>
      </c>
      <c r="B145" s="2">
        <v>1110</v>
      </c>
      <c r="C145" s="1" t="s">
        <v>28</v>
      </c>
    </row>
    <row r="146" spans="1:6" hidden="1" x14ac:dyDescent="0.35">
      <c r="A146" s="1" t="s">
        <v>3</v>
      </c>
      <c r="B146" s="2">
        <v>89906</v>
      </c>
      <c r="C146" s="1" t="s">
        <v>29</v>
      </c>
    </row>
    <row r="147" spans="1:6" hidden="1" x14ac:dyDescent="0.35">
      <c r="A147" s="1" t="s">
        <v>5</v>
      </c>
      <c r="B147" s="2">
        <v>1251</v>
      </c>
      <c r="C147" s="1" t="s">
        <v>29</v>
      </c>
      <c r="F147" s="23"/>
    </row>
    <row r="148" spans="1:6" hidden="1" x14ac:dyDescent="0.35">
      <c r="A148" s="1" t="s">
        <v>6</v>
      </c>
      <c r="B148" s="2">
        <v>556</v>
      </c>
      <c r="C148" s="1" t="s">
        <v>29</v>
      </c>
      <c r="F148" s="24"/>
    </row>
    <row r="149" spans="1:6" hidden="1" x14ac:dyDescent="0.35">
      <c r="A149" s="1" t="s">
        <v>7</v>
      </c>
      <c r="B149" s="2">
        <v>293</v>
      </c>
      <c r="C149" s="1" t="s">
        <v>29</v>
      </c>
      <c r="F149" s="23"/>
    </row>
    <row r="150" spans="1:6" hidden="1" x14ac:dyDescent="0.35">
      <c r="A150" s="1" t="s">
        <v>8</v>
      </c>
      <c r="B150" s="2">
        <v>239</v>
      </c>
      <c r="C150" s="1" t="s">
        <v>29</v>
      </c>
      <c r="F150" s="24"/>
    </row>
    <row r="151" spans="1:6" hidden="1" x14ac:dyDescent="0.35">
      <c r="A151" s="1" t="s">
        <v>9</v>
      </c>
      <c r="B151" s="2">
        <v>1605</v>
      </c>
      <c r="C151" s="1" t="s">
        <v>29</v>
      </c>
      <c r="F151" s="23"/>
    </row>
    <row r="152" spans="1:6" hidden="1" x14ac:dyDescent="0.35">
      <c r="A152" s="1" t="s">
        <v>10</v>
      </c>
      <c r="B152" s="2">
        <v>242852</v>
      </c>
      <c r="C152" s="1" t="s">
        <v>29</v>
      </c>
    </row>
    <row r="153" spans="1:6" hidden="1" x14ac:dyDescent="0.35">
      <c r="A153" s="1" t="s">
        <v>11</v>
      </c>
      <c r="B153" s="2">
        <v>801</v>
      </c>
      <c r="C153" s="1" t="s">
        <v>29</v>
      </c>
    </row>
    <row r="154" spans="1:6" hidden="1" x14ac:dyDescent="0.35">
      <c r="A154" s="1" t="s">
        <v>12</v>
      </c>
      <c r="B154" s="2">
        <v>294</v>
      </c>
      <c r="C154" s="1" t="s">
        <v>29</v>
      </c>
    </row>
    <row r="155" spans="1:6" hidden="1" x14ac:dyDescent="0.35">
      <c r="A155" s="1" t="s">
        <v>13</v>
      </c>
      <c r="B155" s="2">
        <v>219</v>
      </c>
      <c r="C155" s="1" t="s">
        <v>29</v>
      </c>
    </row>
    <row r="156" spans="1:6" hidden="1" x14ac:dyDescent="0.35">
      <c r="A156" s="1" t="s">
        <v>14</v>
      </c>
      <c r="B156" s="2">
        <v>613</v>
      </c>
      <c r="C156" s="1" t="s">
        <v>29</v>
      </c>
    </row>
    <row r="157" spans="1:6" hidden="1" x14ac:dyDescent="0.35">
      <c r="A157" s="1" t="s">
        <v>15</v>
      </c>
      <c r="B157" s="2">
        <v>919</v>
      </c>
      <c r="C157" s="1" t="s">
        <v>29</v>
      </c>
    </row>
    <row r="158" spans="1:6" hidden="1" x14ac:dyDescent="0.35">
      <c r="A158" s="1" t="s">
        <v>3</v>
      </c>
      <c r="B158" s="2">
        <v>56699</v>
      </c>
      <c r="C158" s="1" t="s">
        <v>30</v>
      </c>
    </row>
    <row r="159" spans="1:6" hidden="1" x14ac:dyDescent="0.35">
      <c r="A159" s="1" t="s">
        <v>5</v>
      </c>
      <c r="B159" s="2">
        <v>366</v>
      </c>
      <c r="C159" s="1" t="s">
        <v>30</v>
      </c>
    </row>
    <row r="160" spans="1:6" hidden="1" x14ac:dyDescent="0.35">
      <c r="A160" s="1" t="s">
        <v>6</v>
      </c>
      <c r="B160" s="2">
        <v>372</v>
      </c>
      <c r="C160" s="1" t="s">
        <v>30</v>
      </c>
    </row>
    <row r="161" spans="1:3" hidden="1" x14ac:dyDescent="0.35">
      <c r="A161" s="1" t="s">
        <v>7</v>
      </c>
      <c r="B161" s="2">
        <v>370</v>
      </c>
      <c r="C161" s="1" t="s">
        <v>30</v>
      </c>
    </row>
    <row r="162" spans="1:3" hidden="1" x14ac:dyDescent="0.35">
      <c r="A162" s="1" t="s">
        <v>8</v>
      </c>
      <c r="B162" s="2">
        <v>929</v>
      </c>
      <c r="C162" s="1" t="s">
        <v>30</v>
      </c>
    </row>
    <row r="163" spans="1:3" hidden="1" x14ac:dyDescent="0.35">
      <c r="A163" s="1" t="s">
        <v>9</v>
      </c>
      <c r="B163" s="2">
        <v>1586</v>
      </c>
      <c r="C163" s="1" t="s">
        <v>30</v>
      </c>
    </row>
    <row r="164" spans="1:3" hidden="1" x14ac:dyDescent="0.35">
      <c r="A164" s="1" t="s">
        <v>10</v>
      </c>
      <c r="B164" s="2">
        <v>584234</v>
      </c>
      <c r="C164" s="1" t="s">
        <v>30</v>
      </c>
    </row>
    <row r="165" spans="1:3" hidden="1" x14ac:dyDescent="0.35">
      <c r="A165" s="1" t="s">
        <v>11</v>
      </c>
      <c r="B165" s="2">
        <v>929</v>
      </c>
      <c r="C165" s="1" t="s">
        <v>30</v>
      </c>
    </row>
    <row r="166" spans="1:3" hidden="1" x14ac:dyDescent="0.35">
      <c r="A166" s="1" t="s">
        <v>12</v>
      </c>
      <c r="B166" s="2">
        <v>93</v>
      </c>
      <c r="C166" s="1" t="s">
        <v>30</v>
      </c>
    </row>
    <row r="167" spans="1:3" hidden="1" x14ac:dyDescent="0.35">
      <c r="A167" s="1" t="s">
        <v>13</v>
      </c>
      <c r="B167" s="2">
        <v>98</v>
      </c>
      <c r="C167" s="1" t="s">
        <v>30</v>
      </c>
    </row>
    <row r="168" spans="1:3" hidden="1" x14ac:dyDescent="0.35">
      <c r="A168" s="1" t="s">
        <v>14</v>
      </c>
      <c r="B168" s="2">
        <v>1542</v>
      </c>
      <c r="C168" s="1" t="s">
        <v>30</v>
      </c>
    </row>
    <row r="169" spans="1:3" hidden="1" x14ac:dyDescent="0.35">
      <c r="A169" s="1" t="s">
        <v>15</v>
      </c>
      <c r="B169" s="2">
        <v>1136</v>
      </c>
      <c r="C169" s="1" t="s">
        <v>30</v>
      </c>
    </row>
    <row r="170" spans="1:3" hidden="1" x14ac:dyDescent="0.35">
      <c r="A170" s="1" t="s">
        <v>3</v>
      </c>
      <c r="B170" s="2">
        <v>275231</v>
      </c>
      <c r="C170" s="1" t="s">
        <v>31</v>
      </c>
    </row>
    <row r="171" spans="1:3" hidden="1" x14ac:dyDescent="0.35">
      <c r="A171" s="1" t="s">
        <v>5</v>
      </c>
      <c r="B171" s="2">
        <v>912</v>
      </c>
      <c r="C171" s="1" t="s">
        <v>31</v>
      </c>
    </row>
    <row r="172" spans="1:3" hidden="1" x14ac:dyDescent="0.35">
      <c r="A172" s="1" t="s">
        <v>6</v>
      </c>
      <c r="B172" s="2">
        <v>2946</v>
      </c>
      <c r="C172" s="1" t="s">
        <v>31</v>
      </c>
    </row>
    <row r="173" spans="1:3" hidden="1" x14ac:dyDescent="0.35">
      <c r="A173" s="1" t="s">
        <v>7</v>
      </c>
      <c r="B173" s="2">
        <v>324</v>
      </c>
      <c r="C173" s="1" t="s">
        <v>31</v>
      </c>
    </row>
    <row r="174" spans="1:3" hidden="1" x14ac:dyDescent="0.35">
      <c r="A174" s="1" t="s">
        <v>8</v>
      </c>
      <c r="B174" s="2">
        <v>199</v>
      </c>
      <c r="C174" s="1" t="s">
        <v>31</v>
      </c>
    </row>
    <row r="175" spans="1:3" hidden="1" x14ac:dyDescent="0.35">
      <c r="A175" s="1" t="s">
        <v>9</v>
      </c>
      <c r="B175" s="2">
        <v>2281</v>
      </c>
      <c r="C175" s="1" t="s">
        <v>31</v>
      </c>
    </row>
    <row r="176" spans="1:3" hidden="1" x14ac:dyDescent="0.35">
      <c r="A176" s="1" t="s">
        <v>10</v>
      </c>
      <c r="B176" s="2">
        <v>423245</v>
      </c>
      <c r="C176" s="1" t="s">
        <v>31</v>
      </c>
    </row>
    <row r="177" spans="1:6" hidden="1" x14ac:dyDescent="0.35">
      <c r="A177" s="1" t="s">
        <v>11</v>
      </c>
      <c r="B177" s="2">
        <v>995</v>
      </c>
      <c r="C177" s="1" t="s">
        <v>31</v>
      </c>
    </row>
    <row r="178" spans="1:6" hidden="1" x14ac:dyDescent="0.35">
      <c r="A178" s="1" t="s">
        <v>12</v>
      </c>
      <c r="B178" s="2">
        <v>168</v>
      </c>
      <c r="C178" s="1" t="s">
        <v>31</v>
      </c>
    </row>
    <row r="179" spans="1:6" hidden="1" x14ac:dyDescent="0.35">
      <c r="A179" s="1" t="s">
        <v>13</v>
      </c>
      <c r="B179" s="2">
        <v>201</v>
      </c>
      <c r="C179" s="1" t="s">
        <v>31</v>
      </c>
    </row>
    <row r="180" spans="1:6" hidden="1" x14ac:dyDescent="0.35">
      <c r="A180" s="1" t="s">
        <v>14</v>
      </c>
      <c r="B180" s="2">
        <v>9922</v>
      </c>
      <c r="C180" s="1" t="s">
        <v>31</v>
      </c>
    </row>
    <row r="181" spans="1:6" hidden="1" x14ac:dyDescent="0.35">
      <c r="A181" s="1" t="s">
        <v>15</v>
      </c>
      <c r="B181" s="2">
        <v>1643</v>
      </c>
      <c r="C181" s="1" t="s">
        <v>31</v>
      </c>
    </row>
    <row r="182" spans="1:6" hidden="1" x14ac:dyDescent="0.35">
      <c r="A182" s="1" t="s">
        <v>3</v>
      </c>
      <c r="B182" s="2">
        <v>124024</v>
      </c>
      <c r="C182" s="1" t="s">
        <v>32</v>
      </c>
    </row>
    <row r="183" spans="1:6" hidden="1" x14ac:dyDescent="0.35">
      <c r="A183" s="1" t="s">
        <v>5</v>
      </c>
      <c r="B183" s="2">
        <v>546</v>
      </c>
      <c r="C183" s="1" t="s">
        <v>32</v>
      </c>
      <c r="F183" s="23"/>
    </row>
    <row r="184" spans="1:6" hidden="1" x14ac:dyDescent="0.35">
      <c r="A184" s="1" t="s">
        <v>6</v>
      </c>
      <c r="B184" s="2">
        <v>627</v>
      </c>
      <c r="C184" s="1" t="s">
        <v>32</v>
      </c>
      <c r="F184" s="24"/>
    </row>
    <row r="185" spans="1:6" hidden="1" x14ac:dyDescent="0.35">
      <c r="A185" s="1" t="s">
        <v>7</v>
      </c>
      <c r="B185" s="2">
        <v>135</v>
      </c>
      <c r="C185" s="1" t="s">
        <v>32</v>
      </c>
      <c r="F185" s="23"/>
    </row>
    <row r="186" spans="1:6" hidden="1" x14ac:dyDescent="0.35">
      <c r="A186" s="1" t="s">
        <v>8</v>
      </c>
      <c r="B186" s="2">
        <v>120</v>
      </c>
      <c r="C186" s="1" t="s">
        <v>32</v>
      </c>
      <c r="F186" s="24"/>
    </row>
    <row r="187" spans="1:6" hidden="1" x14ac:dyDescent="0.35">
      <c r="A187" s="1" t="s">
        <v>9</v>
      </c>
      <c r="B187" s="2">
        <v>942</v>
      </c>
      <c r="C187" s="1" t="s">
        <v>32</v>
      </c>
      <c r="F187" s="23"/>
    </row>
    <row r="188" spans="1:6" hidden="1" x14ac:dyDescent="0.35">
      <c r="A188" s="1" t="s">
        <v>10</v>
      </c>
      <c r="B188" s="2">
        <v>202689</v>
      </c>
      <c r="C188" s="1" t="s">
        <v>32</v>
      </c>
    </row>
    <row r="189" spans="1:6" hidden="1" x14ac:dyDescent="0.35">
      <c r="A189" s="1" t="s">
        <v>11</v>
      </c>
      <c r="B189" s="2">
        <v>579</v>
      </c>
      <c r="C189" s="1" t="s">
        <v>32</v>
      </c>
      <c r="F189" s="24"/>
    </row>
    <row r="190" spans="1:6" hidden="1" x14ac:dyDescent="0.35">
      <c r="A190" s="1" t="s">
        <v>12</v>
      </c>
      <c r="B190" s="2">
        <v>93</v>
      </c>
      <c r="C190" s="1" t="s">
        <v>32</v>
      </c>
      <c r="F190" s="23"/>
    </row>
    <row r="191" spans="1:6" hidden="1" x14ac:dyDescent="0.35">
      <c r="A191" s="1" t="s">
        <v>13</v>
      </c>
      <c r="B191" s="2">
        <v>92</v>
      </c>
      <c r="C191" s="1" t="s">
        <v>32</v>
      </c>
      <c r="F191" s="24"/>
    </row>
    <row r="192" spans="1:6" hidden="1" x14ac:dyDescent="0.35">
      <c r="A192" s="1" t="s">
        <v>14</v>
      </c>
      <c r="B192" s="2">
        <v>1723</v>
      </c>
      <c r="C192" s="1" t="s">
        <v>32</v>
      </c>
      <c r="F192" s="23"/>
    </row>
    <row r="193" spans="1:6" hidden="1" x14ac:dyDescent="0.35">
      <c r="A193" s="1" t="s">
        <v>15</v>
      </c>
      <c r="B193" s="2">
        <v>441</v>
      </c>
      <c r="C193" s="1" t="s">
        <v>32</v>
      </c>
      <c r="F193" s="24"/>
    </row>
    <row r="194" spans="1:6" x14ac:dyDescent="0.35">
      <c r="A194" s="1"/>
      <c r="B194" s="2"/>
      <c r="C194" s="1"/>
    </row>
    <row r="195" spans="1:6" x14ac:dyDescent="0.35">
      <c r="B195" s="22">
        <f>SUM(B123:B133)</f>
        <v>138335</v>
      </c>
      <c r="F195" s="22">
        <f>SUM(F123:F133)</f>
        <v>3772</v>
      </c>
    </row>
    <row r="196" spans="1:6" x14ac:dyDescent="0.35">
      <c r="F196" s="22"/>
    </row>
    <row r="197" spans="1:6" x14ac:dyDescent="0.35">
      <c r="B197" s="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F37B-0F77-4E2B-851D-9764C2E3A37B}">
  <dimension ref="A1:E17"/>
  <sheetViews>
    <sheetView tabSelected="1" workbookViewId="0">
      <selection activeCell="H12" sqref="H12"/>
    </sheetView>
  </sheetViews>
  <sheetFormatPr defaultRowHeight="14.5" x14ac:dyDescent="0.35"/>
  <cols>
    <col min="1" max="1" width="17.453125" customWidth="1"/>
    <col min="2" max="2" width="17.26953125" customWidth="1"/>
    <col min="3" max="3" width="21.81640625" customWidth="1"/>
    <col min="4" max="4" width="10.7265625" customWidth="1"/>
    <col min="5" max="5" width="13.453125" customWidth="1"/>
  </cols>
  <sheetData>
    <row r="1" spans="1:5" x14ac:dyDescent="0.35">
      <c r="A1" t="s">
        <v>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35">
      <c r="A2" t="s">
        <v>22</v>
      </c>
      <c r="B2">
        <v>1260832</v>
      </c>
      <c r="C2">
        <v>681535</v>
      </c>
      <c r="D2">
        <v>34712</v>
      </c>
      <c r="E2">
        <f>SUM(Table35[[#This Row],[John D. Mahama]:[Others]])</f>
        <v>1977079</v>
      </c>
    </row>
    <row r="3" spans="1:5" x14ac:dyDescent="0.35">
      <c r="A3" t="s">
        <v>16</v>
      </c>
      <c r="B3">
        <v>697076</v>
      </c>
      <c r="C3">
        <v>1366800</v>
      </c>
      <c r="D3">
        <v>42232</v>
      </c>
      <c r="E3">
        <f>SUM(Table35[[#This Row],[John D. Mahama]:[Others]])</f>
        <v>2106108</v>
      </c>
    </row>
    <row r="4" spans="1:5" x14ac:dyDescent="0.35">
      <c r="A4" t="s">
        <v>21</v>
      </c>
      <c r="B4">
        <v>453234</v>
      </c>
      <c r="C4">
        <v>493234</v>
      </c>
      <c r="D4">
        <v>15417</v>
      </c>
      <c r="E4">
        <f>SUM(Table35[[#This Row],[John D. Mahama]:[Others]])</f>
        <v>961885</v>
      </c>
    </row>
    <row r="5" spans="1:5" x14ac:dyDescent="0.35">
      <c r="A5" t="s">
        <v>20</v>
      </c>
      <c r="B5">
        <v>562620</v>
      </c>
      <c r="C5">
        <v>382749</v>
      </c>
      <c r="D5">
        <v>21500</v>
      </c>
      <c r="E5">
        <f>SUM(Table35[[#This Row],[John D. Mahama]:[Others]])</f>
        <v>966869</v>
      </c>
    </row>
    <row r="6" spans="1:5" x14ac:dyDescent="0.35">
      <c r="A6" t="s">
        <v>24</v>
      </c>
      <c r="B6">
        <v>529456</v>
      </c>
      <c r="C6">
        <v>370928</v>
      </c>
      <c r="D6">
        <v>14338</v>
      </c>
      <c r="E6">
        <f>SUM(Table35[[#This Row],[John D. Mahama]:[Others]])</f>
        <v>914722</v>
      </c>
    </row>
    <row r="7" spans="1:5" x14ac:dyDescent="0.35">
      <c r="A7" t="s">
        <v>30</v>
      </c>
      <c r="B7">
        <v>584234</v>
      </c>
      <c r="C7">
        <v>56699</v>
      </c>
      <c r="D7">
        <v>7421</v>
      </c>
      <c r="E7">
        <f>SUM(Table35[[#This Row],[John D. Mahama]:[Others]])</f>
        <v>648354</v>
      </c>
    </row>
    <row r="8" spans="1:5" x14ac:dyDescent="0.35">
      <c r="A8" t="s">
        <v>31</v>
      </c>
      <c r="B8">
        <v>423245</v>
      </c>
      <c r="C8">
        <v>275231</v>
      </c>
      <c r="D8">
        <v>19591</v>
      </c>
      <c r="E8">
        <f>SUM(Table35[[#This Row],[John D. Mahama]:[Others]])</f>
        <v>718067</v>
      </c>
    </row>
    <row r="9" spans="1:5" x14ac:dyDescent="0.35">
      <c r="A9" t="s">
        <v>28</v>
      </c>
      <c r="B9">
        <v>361597</v>
      </c>
      <c r="C9">
        <v>106700</v>
      </c>
      <c r="D9">
        <v>9229</v>
      </c>
      <c r="E9">
        <f>SUM(Table35[[#This Row],[John D. Mahama]:[Others]])</f>
        <v>477526</v>
      </c>
    </row>
    <row r="10" spans="1:5" x14ac:dyDescent="0.35">
      <c r="A10" t="s">
        <v>37</v>
      </c>
      <c r="B10">
        <v>235681</v>
      </c>
      <c r="C10">
        <v>192773</v>
      </c>
      <c r="D10">
        <v>10032</v>
      </c>
      <c r="E10">
        <f>SUM(Table35[[#This Row],[John D. Mahama]:[Others]])</f>
        <v>438486</v>
      </c>
    </row>
    <row r="11" spans="1:5" x14ac:dyDescent="0.35">
      <c r="A11" t="s">
        <v>29</v>
      </c>
      <c r="B11">
        <v>242852</v>
      </c>
      <c r="C11">
        <v>89906</v>
      </c>
      <c r="D11">
        <v>6790</v>
      </c>
      <c r="E11">
        <f>SUM(Table35[[#This Row],[John D. Mahama]:[Others]])</f>
        <v>339548</v>
      </c>
    </row>
    <row r="12" spans="1:5" x14ac:dyDescent="0.35">
      <c r="A12" t="s">
        <v>19</v>
      </c>
      <c r="B12">
        <v>216691</v>
      </c>
      <c r="C12">
        <v>124811</v>
      </c>
      <c r="D12">
        <v>5538</v>
      </c>
      <c r="E12">
        <f>SUM(Table35[[#This Row],[John D. Mahama]:[Others]])</f>
        <v>347040</v>
      </c>
    </row>
    <row r="13" spans="1:5" x14ac:dyDescent="0.35">
      <c r="A13" t="s">
        <v>32</v>
      </c>
      <c r="B13">
        <v>202689</v>
      </c>
      <c r="C13">
        <v>124024</v>
      </c>
      <c r="D13">
        <v>5298</v>
      </c>
      <c r="E13">
        <f>SUM(Table35[[#This Row],[John D. Mahama]:[Others]])</f>
        <v>332011</v>
      </c>
    </row>
    <row r="14" spans="1:5" x14ac:dyDescent="0.35">
      <c r="A14" t="s">
        <v>25</v>
      </c>
      <c r="B14">
        <v>182470</v>
      </c>
      <c r="C14">
        <v>86489</v>
      </c>
      <c r="D14">
        <v>4011</v>
      </c>
      <c r="E14">
        <f>SUM(Table35[[#This Row],[John D. Mahama]:[Others]])</f>
        <v>272970</v>
      </c>
    </row>
    <row r="15" spans="1:5" x14ac:dyDescent="0.35">
      <c r="A15" t="s">
        <v>4</v>
      </c>
      <c r="B15">
        <v>130106</v>
      </c>
      <c r="C15">
        <v>113851</v>
      </c>
      <c r="D15">
        <v>3658</v>
      </c>
      <c r="E15">
        <f>SUM(Table35[[#This Row],[John D. Mahama]:[Others]])</f>
        <v>247615</v>
      </c>
    </row>
    <row r="16" spans="1:5" x14ac:dyDescent="0.35">
      <c r="A16" t="s">
        <v>23</v>
      </c>
      <c r="B16">
        <v>111051</v>
      </c>
      <c r="C16">
        <v>134800</v>
      </c>
      <c r="D16">
        <v>3500</v>
      </c>
      <c r="E16">
        <f>SUM(Table35[[#This Row],[John D. Mahama]:[Others]])</f>
        <v>249351</v>
      </c>
    </row>
    <row r="17" spans="1:5" x14ac:dyDescent="0.35">
      <c r="A17" t="s">
        <v>27</v>
      </c>
      <c r="B17">
        <v>134563</v>
      </c>
      <c r="C17">
        <v>56774</v>
      </c>
      <c r="D17">
        <v>3772</v>
      </c>
      <c r="E17">
        <f>SUM(Table35[[#This Row],[John D. Mahama]:[Others]])</f>
        <v>195109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39C1-1100-4B2F-A0C2-AF5DA834B69E}">
  <dimension ref="A1:K30"/>
  <sheetViews>
    <sheetView workbookViewId="0">
      <selection activeCell="K21" sqref="K21"/>
    </sheetView>
  </sheetViews>
  <sheetFormatPr defaultRowHeight="14.5" x14ac:dyDescent="0.35"/>
  <cols>
    <col min="1" max="1" width="7.81640625" bestFit="1" customWidth="1"/>
    <col min="2" max="2" width="9.36328125" bestFit="1" customWidth="1"/>
    <col min="3" max="3" width="13.26953125" bestFit="1" customWidth="1"/>
    <col min="4" max="6" width="7.81640625" bestFit="1" customWidth="1"/>
    <col min="7" max="7" width="7.08984375" bestFit="1" customWidth="1"/>
    <col min="8" max="8" width="15.6328125" bestFit="1" customWidth="1"/>
    <col min="9" max="9" width="10.1796875" customWidth="1"/>
    <col min="10" max="10" width="11" customWidth="1"/>
    <col min="11" max="16" width="15.26953125" bestFit="1" customWidth="1"/>
    <col min="17" max="17" width="10.7265625" bestFit="1" customWidth="1"/>
  </cols>
  <sheetData>
    <row r="1" spans="1:11" x14ac:dyDescent="0.35">
      <c r="A1" s="3" t="s">
        <v>2</v>
      </c>
      <c r="B1" t="s">
        <v>16</v>
      </c>
      <c r="E1" s="3" t="s">
        <v>2</v>
      </c>
      <c r="F1" t="s">
        <v>30</v>
      </c>
      <c r="I1" s="3" t="s">
        <v>2</v>
      </c>
      <c r="J1" t="s">
        <v>30</v>
      </c>
    </row>
    <row r="3" spans="1:11" x14ac:dyDescent="0.35">
      <c r="A3" t="s">
        <v>40</v>
      </c>
      <c r="B3" t="s">
        <v>41</v>
      </c>
      <c r="C3" t="s">
        <v>42</v>
      </c>
      <c r="E3" t="s">
        <v>41</v>
      </c>
      <c r="F3" t="s">
        <v>40</v>
      </c>
      <c r="G3" t="s">
        <v>42</v>
      </c>
      <c r="I3" s="3" t="s">
        <v>41</v>
      </c>
      <c r="J3" t="s">
        <v>40</v>
      </c>
      <c r="K3" t="s">
        <v>42</v>
      </c>
    </row>
    <row r="4" spans="1:11" x14ac:dyDescent="0.35">
      <c r="A4">
        <v>1366800</v>
      </c>
      <c r="B4">
        <v>697076</v>
      </c>
      <c r="C4">
        <v>739308</v>
      </c>
      <c r="E4">
        <v>584234</v>
      </c>
      <c r="F4">
        <v>56699</v>
      </c>
      <c r="G4">
        <v>591655</v>
      </c>
      <c r="I4">
        <v>584234</v>
      </c>
      <c r="J4">
        <v>56699</v>
      </c>
      <c r="K4">
        <v>591655</v>
      </c>
    </row>
    <row r="10" spans="1:11" x14ac:dyDescent="0.35">
      <c r="G10" s="4"/>
      <c r="H10" s="5"/>
      <c r="I10" s="6"/>
    </row>
    <row r="11" spans="1:11" x14ac:dyDescent="0.35">
      <c r="G11" s="7"/>
      <c r="H11" s="8"/>
      <c r="I11" s="9"/>
    </row>
    <row r="12" spans="1:11" x14ac:dyDescent="0.35">
      <c r="C12" s="3" t="s">
        <v>38</v>
      </c>
      <c r="D12" t="s">
        <v>42</v>
      </c>
      <c r="E12" t="s">
        <v>40</v>
      </c>
      <c r="F12" t="s">
        <v>41</v>
      </c>
      <c r="G12" s="7"/>
      <c r="H12" s="8"/>
      <c r="I12" s="9"/>
    </row>
    <row r="13" spans="1:11" x14ac:dyDescent="0.35">
      <c r="C13" s="13" t="s">
        <v>22</v>
      </c>
      <c r="D13">
        <v>1295544</v>
      </c>
      <c r="E13">
        <v>681535</v>
      </c>
      <c r="F13">
        <v>1260832</v>
      </c>
      <c r="G13" s="7"/>
      <c r="H13" s="8"/>
      <c r="I13" s="9"/>
    </row>
    <row r="14" spans="1:11" x14ac:dyDescent="0.35">
      <c r="C14" s="13" t="s">
        <v>16</v>
      </c>
      <c r="D14">
        <v>739308</v>
      </c>
      <c r="E14">
        <v>1366800</v>
      </c>
      <c r="F14">
        <v>697076</v>
      </c>
      <c r="G14" s="7"/>
      <c r="H14" s="8"/>
      <c r="I14" s="9"/>
    </row>
    <row r="15" spans="1:11" x14ac:dyDescent="0.35">
      <c r="C15" s="13" t="s">
        <v>30</v>
      </c>
      <c r="D15">
        <v>591655</v>
      </c>
      <c r="E15">
        <v>56699</v>
      </c>
      <c r="F15">
        <v>584234</v>
      </c>
      <c r="G15" s="7"/>
      <c r="H15" s="8"/>
      <c r="I15" s="9"/>
    </row>
    <row r="16" spans="1:11" x14ac:dyDescent="0.35">
      <c r="C16" s="13" t="s">
        <v>20</v>
      </c>
      <c r="D16">
        <v>582802</v>
      </c>
      <c r="E16">
        <v>382749</v>
      </c>
      <c r="F16">
        <v>562620</v>
      </c>
      <c r="G16" s="7"/>
      <c r="H16" s="8"/>
      <c r="I16" s="9"/>
    </row>
    <row r="17" spans="3:9" x14ac:dyDescent="0.35">
      <c r="C17" s="13" t="s">
        <v>24</v>
      </c>
      <c r="D17">
        <v>543794</v>
      </c>
      <c r="E17">
        <v>370928</v>
      </c>
      <c r="F17">
        <v>529456</v>
      </c>
      <c r="G17" s="7"/>
      <c r="H17" s="8"/>
      <c r="I17" s="9"/>
    </row>
    <row r="18" spans="3:9" x14ac:dyDescent="0.35">
      <c r="C18" s="13" t="s">
        <v>21</v>
      </c>
      <c r="D18">
        <v>1295544</v>
      </c>
      <c r="E18">
        <v>493234</v>
      </c>
      <c r="F18">
        <v>453234</v>
      </c>
      <c r="G18" s="7"/>
      <c r="H18" s="8"/>
      <c r="I18" s="9"/>
    </row>
    <row r="19" spans="3:9" x14ac:dyDescent="0.35">
      <c r="C19" s="13" t="s">
        <v>31</v>
      </c>
      <c r="D19">
        <v>442836</v>
      </c>
      <c r="E19">
        <v>275231</v>
      </c>
      <c r="F19">
        <v>423245</v>
      </c>
      <c r="G19" s="7"/>
      <c r="H19" s="8"/>
      <c r="I19" s="9"/>
    </row>
    <row r="20" spans="3:9" x14ac:dyDescent="0.35">
      <c r="C20" s="13" t="s">
        <v>28</v>
      </c>
      <c r="D20">
        <v>370826</v>
      </c>
      <c r="E20">
        <v>106700</v>
      </c>
      <c r="F20">
        <v>361597</v>
      </c>
      <c r="G20" s="7"/>
      <c r="H20" s="8"/>
      <c r="I20" s="9"/>
    </row>
    <row r="21" spans="3:9" x14ac:dyDescent="0.35">
      <c r="C21" s="13" t="s">
        <v>29</v>
      </c>
      <c r="D21">
        <v>249642</v>
      </c>
      <c r="E21">
        <v>89906</v>
      </c>
      <c r="F21">
        <v>242852</v>
      </c>
      <c r="G21" s="7"/>
      <c r="H21" s="8"/>
      <c r="I21" s="9"/>
    </row>
    <row r="22" spans="3:9" x14ac:dyDescent="0.35">
      <c r="C22" s="13" t="s">
        <v>37</v>
      </c>
      <c r="D22">
        <v>245713</v>
      </c>
      <c r="E22">
        <v>192773</v>
      </c>
      <c r="F22">
        <v>235681</v>
      </c>
      <c r="G22" s="7"/>
      <c r="H22" s="8"/>
      <c r="I22" s="9"/>
    </row>
    <row r="23" spans="3:9" x14ac:dyDescent="0.35">
      <c r="C23" s="13" t="s">
        <v>19</v>
      </c>
      <c r="D23">
        <v>222229</v>
      </c>
      <c r="E23">
        <v>124811</v>
      </c>
      <c r="F23">
        <v>216691</v>
      </c>
      <c r="G23" s="7"/>
      <c r="H23" s="8"/>
      <c r="I23" s="9"/>
    </row>
    <row r="24" spans="3:9" x14ac:dyDescent="0.35">
      <c r="C24" s="13" t="s">
        <v>32</v>
      </c>
      <c r="D24">
        <v>207987</v>
      </c>
      <c r="E24">
        <v>124024</v>
      </c>
      <c r="F24">
        <v>202689</v>
      </c>
      <c r="G24" s="7"/>
      <c r="H24" s="8"/>
      <c r="I24" s="9"/>
    </row>
    <row r="25" spans="3:9" x14ac:dyDescent="0.35">
      <c r="C25" s="13" t="s">
        <v>25</v>
      </c>
      <c r="D25">
        <v>186481</v>
      </c>
      <c r="E25">
        <v>86489</v>
      </c>
      <c r="F25">
        <v>182470</v>
      </c>
      <c r="G25" s="7"/>
      <c r="H25" s="8"/>
      <c r="I25" s="9"/>
    </row>
    <row r="26" spans="3:9" x14ac:dyDescent="0.35">
      <c r="C26" s="13" t="s">
        <v>27</v>
      </c>
      <c r="D26">
        <v>138335</v>
      </c>
      <c r="E26">
        <v>56774</v>
      </c>
      <c r="F26">
        <v>134563</v>
      </c>
      <c r="G26" s="7"/>
      <c r="H26" s="8"/>
      <c r="I26" s="9"/>
    </row>
    <row r="27" spans="3:9" x14ac:dyDescent="0.35">
      <c r="C27" s="13" t="s">
        <v>4</v>
      </c>
      <c r="D27">
        <v>133764</v>
      </c>
      <c r="E27">
        <v>113851</v>
      </c>
      <c r="F27">
        <v>130106</v>
      </c>
      <c r="G27" s="10"/>
      <c r="H27" s="11"/>
      <c r="I27" s="12"/>
    </row>
    <row r="28" spans="3:9" x14ac:dyDescent="0.35">
      <c r="C28" s="13" t="s">
        <v>23</v>
      </c>
      <c r="D28">
        <v>114551</v>
      </c>
      <c r="E28">
        <v>134800</v>
      </c>
      <c r="F28">
        <v>111051</v>
      </c>
    </row>
    <row r="29" spans="3:9" x14ac:dyDescent="0.35">
      <c r="C29" s="13" t="s">
        <v>39</v>
      </c>
      <c r="D29">
        <v>7361011</v>
      </c>
      <c r="E29">
        <v>4657304</v>
      </c>
      <c r="F29">
        <v>6328397</v>
      </c>
    </row>
    <row r="30" spans="3:9" x14ac:dyDescent="0.35">
      <c r="H30" s="16">
        <f>SUM(D29:F29)</f>
        <v>18346712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B05B-C362-43E3-B644-BC628D2610E7}">
  <dimension ref="B2:Q17"/>
  <sheetViews>
    <sheetView topLeftCell="A19" workbookViewId="0">
      <selection activeCell="D17" sqref="D17"/>
    </sheetView>
  </sheetViews>
  <sheetFormatPr defaultRowHeight="14.5" x14ac:dyDescent="0.35"/>
  <cols>
    <col min="1" max="3" width="8.7265625" style="14"/>
    <col min="4" max="4" width="14.6328125" style="14" bestFit="1" customWidth="1"/>
    <col min="5" max="9" width="8.7265625" style="14"/>
    <col min="10" max="10" width="14.6328125" style="14" bestFit="1" customWidth="1"/>
    <col min="11" max="16384" width="8.7265625" style="14"/>
  </cols>
  <sheetData>
    <row r="2" spans="2:17" x14ac:dyDescent="0.35">
      <c r="B2" s="15" t="s">
        <v>44</v>
      </c>
      <c r="O2" s="14" t="s">
        <v>45</v>
      </c>
      <c r="Q2" s="14" t="s">
        <v>46</v>
      </c>
    </row>
    <row r="8" spans="2:17" ht="18.5" x14ac:dyDescent="0.45">
      <c r="C8" s="17" t="s">
        <v>33</v>
      </c>
      <c r="N8" s="21" t="s">
        <v>47</v>
      </c>
    </row>
    <row r="15" spans="2:17" ht="18.5" x14ac:dyDescent="0.45">
      <c r="D15" s="15"/>
      <c r="E15" s="19"/>
      <c r="J15" s="17" t="s">
        <v>43</v>
      </c>
    </row>
    <row r="17" spans="4:10" x14ac:dyDescent="0.35">
      <c r="D17" s="20">
        <f>SUM(Pivot!F13:F28)</f>
        <v>6328397</v>
      </c>
      <c r="J17" s="18">
        <f>SUM(Pivot!D29:F29)</f>
        <v>18346712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114D0A-8402-4BF2-B501-F2DEF7AACA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NTable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Foster Merit-Numagblenu</dc:creator>
  <cp:lastModifiedBy>Divine Ackun</cp:lastModifiedBy>
  <dcterms:created xsi:type="dcterms:W3CDTF">2025-04-04T13:08:21Z</dcterms:created>
  <dcterms:modified xsi:type="dcterms:W3CDTF">2025-05-18T15:54:46Z</dcterms:modified>
</cp:coreProperties>
</file>